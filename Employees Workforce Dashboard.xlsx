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hahrukh Sable\Desktop\Arbor\Dataset\Employees\"/>
    </mc:Choice>
  </mc:AlternateContent>
  <xr:revisionPtr revIDLastSave="0" documentId="13_ncr:1_{F7593F08-4FF2-4335-9DCA-273F31D32000}" xr6:coauthVersionLast="47" xr6:coauthVersionMax="47" xr10:uidLastSave="{00000000-0000-0000-0000-000000000000}"/>
  <bookViews>
    <workbookView xWindow="-108" yWindow="-108" windowWidth="23256" windowHeight="12456" activeTab="2" xr2:uid="{00000000-000D-0000-FFFF-FFFF00000000}"/>
  </bookViews>
  <sheets>
    <sheet name="EMP RAW Data" sheetId="2" r:id="rId1"/>
    <sheet name="Sheet2" sheetId="5" r:id="rId2"/>
    <sheet name="Dashboard" sheetId="4" r:id="rId3"/>
  </sheets>
  <definedNames>
    <definedName name="_xlcn.WorksheetConnection_NewMicrosoftExcelWorksheet.xlsxEMP_RAW_Data1" hidden="1">EMP_RAW_Data[]</definedName>
    <definedName name="ExternalData_1" localSheetId="0" hidden="1">'EMP RAW Data'!$A$1:$Q$1001</definedName>
    <definedName name="Slicer_Country">#N/A</definedName>
    <definedName name="Slicer_Department">#N/A</definedName>
    <definedName name="Slicer_Gend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_RAW_Data" name="EMP_RAW_Data" connection="WorksheetConnection_New Microsoft Excel Worksheet.xlsx!EMP_RAW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P4" i="5"/>
  <c r="B21" i="5"/>
  <c r="K18" i="5"/>
  <c r="L18" i="5"/>
  <c r="K19" i="5"/>
  <c r="L19" i="5"/>
  <c r="K20" i="5"/>
  <c r="L20" i="5"/>
  <c r="A15" i="5"/>
  <c r="B15" i="5"/>
  <c r="A13" i="5"/>
  <c r="B13" i="5"/>
  <c r="A14" i="5"/>
  <c r="B14" i="5"/>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15" i="5"/>
  <c r="M19" i="5"/>
  <c r="C13" i="5"/>
  <c r="C9" i="5"/>
  <c r="C14" i="5"/>
  <c r="C8" i="5"/>
  <c r="B19" i="5"/>
  <c r="B4" i="5"/>
  <c r="M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E510C-E105-4F28-B767-15D856BA6EB7}" keepAlive="1" name="Query - EMP RAW Data" description="Connection to the 'EMP RAW Data' query in the workbook." type="5" refreshedVersion="8" background="1" saveData="1">
    <dbPr connection="Provider=Microsoft.Mashup.OleDb.1;Data Source=$Workbook$;Location=&quot;EMP RAW Data&quot;;Extended Properties=&quot;&quot;" command="SELECT * FROM [EMP RAW Data]"/>
  </connection>
  <connection id="2" xr16:uid="{AB379D92-CC9A-4650-B621-13481A27A9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4021FF3-C3F1-4EA3-B473-9638E7D60151}" name="WorksheetConnection_New Microsoft Excel Worksheet.xlsx!EMP_RAW_Data" type="102" refreshedVersion="8" minRefreshableVersion="5">
    <extLst>
      <ext xmlns:x15="http://schemas.microsoft.com/office/spreadsheetml/2010/11/main" uri="{DE250136-89BD-433C-8126-D09CA5730AF9}">
        <x15:connection id="EMP_RAW_Data" autoDelete="1">
          <x15:rangePr sourceName="_xlcn.WorksheetConnection_NewMicrosoftExcelWorksheet.xlsxEMP_RAW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_RAW_Data].[Employee Status].[All]}"/>
  </metadataStrings>
  <mdxMetadata count="1">
    <mdx n="0" f="s">
      <ms ns="1" c="0"/>
    </mdx>
  </mdxMetadata>
  <valueMetadata count="1">
    <bk>
      <rc t="1" v="0"/>
    </bk>
  </valueMetadata>
</metadata>
</file>

<file path=xl/sharedStrings.xml><?xml version="1.0" encoding="utf-8"?>
<sst xmlns="http://schemas.openxmlformats.org/spreadsheetml/2006/main" count="9120" uniqueCount="1104">
  <si>
    <t>EMP ID</t>
  </si>
  <si>
    <t>Job Title</t>
  </si>
  <si>
    <t>Department</t>
  </si>
  <si>
    <t>Business Unit</t>
  </si>
  <si>
    <t>Gender</t>
  </si>
  <si>
    <t>Age</t>
  </si>
  <si>
    <t>Age Group</t>
  </si>
  <si>
    <t>Hire Date</t>
  </si>
  <si>
    <t>Annual Salary</t>
  </si>
  <si>
    <t>Bonus %</t>
  </si>
  <si>
    <t>Total Salary</t>
  </si>
  <si>
    <t>Country</t>
  </si>
  <si>
    <t>City</t>
  </si>
  <si>
    <t>Exit Date</t>
  </si>
  <si>
    <t>Index</t>
  </si>
  <si>
    <t>Status</t>
  </si>
  <si>
    <t>Custom</t>
  </si>
  <si>
    <t>EMP-1</t>
  </si>
  <si>
    <t>Sr. Manger</t>
  </si>
  <si>
    <t>IT</t>
  </si>
  <si>
    <t>Research &amp; Development</t>
  </si>
  <si>
    <t>Female</t>
  </si>
  <si>
    <t>55-65</t>
  </si>
  <si>
    <t>United States</t>
  </si>
  <si>
    <t>Seattle</t>
  </si>
  <si>
    <t>EMP-</t>
  </si>
  <si>
    <t>EMP-2</t>
  </si>
  <si>
    <t>Technical Architect</t>
  </si>
  <si>
    <t>Manufacturing</t>
  </si>
  <si>
    <t>Male</t>
  </si>
  <si>
    <t>China</t>
  </si>
  <si>
    <t>Chongqing</t>
  </si>
  <si>
    <t>EMP-3</t>
  </si>
  <si>
    <t>Director</t>
  </si>
  <si>
    <t>Finance</t>
  </si>
  <si>
    <t>Speciality Products</t>
  </si>
  <si>
    <t>45-55</t>
  </si>
  <si>
    <t>Chicago</t>
  </si>
  <si>
    <t>EMP-4</t>
  </si>
  <si>
    <t>Computer Systems Manager</t>
  </si>
  <si>
    <t>25-35</t>
  </si>
  <si>
    <t>EMP-5</t>
  </si>
  <si>
    <t>Sr. Analyst</t>
  </si>
  <si>
    <t>Phoenix</t>
  </si>
  <si>
    <t>EMP-6</t>
  </si>
  <si>
    <t>Account Representative</t>
  </si>
  <si>
    <t>Sales</t>
  </si>
  <si>
    <t>Corporate</t>
  </si>
  <si>
    <t>EMP-7</t>
  </si>
  <si>
    <t>Manager</t>
  </si>
  <si>
    <t>EMP-8</t>
  </si>
  <si>
    <t>Analyst</t>
  </si>
  <si>
    <t>Miami</t>
  </si>
  <si>
    <t>EMP-9</t>
  </si>
  <si>
    <t>Accounting</t>
  </si>
  <si>
    <t>Austin</t>
  </si>
  <si>
    <t>EMP-10</t>
  </si>
  <si>
    <t>EMP-11</t>
  </si>
  <si>
    <t>Human Resources</t>
  </si>
  <si>
    <t>35-45</t>
  </si>
  <si>
    <t>EMP-12</t>
  </si>
  <si>
    <t>Controls Engineer</t>
  </si>
  <si>
    <t>Engineering</t>
  </si>
  <si>
    <t>EMP-13</t>
  </si>
  <si>
    <t>EMP-14</t>
  </si>
  <si>
    <t>Shanghai</t>
  </si>
  <si>
    <t>EMP-15</t>
  </si>
  <si>
    <t>EMP-16</t>
  </si>
  <si>
    <t>Vice President</t>
  </si>
  <si>
    <t>Marketing</t>
  </si>
  <si>
    <t>EMP-17</t>
  </si>
  <si>
    <t>65-100</t>
  </si>
  <si>
    <t>EMP-18</t>
  </si>
  <si>
    <t>EMP-19</t>
  </si>
  <si>
    <t>Columbus</t>
  </si>
  <si>
    <t>EMP-20</t>
  </si>
  <si>
    <t>EMP-21</t>
  </si>
  <si>
    <t>Brazil</t>
  </si>
  <si>
    <t>Manaus</t>
  </si>
  <si>
    <t>EMP-22</t>
  </si>
  <si>
    <t>EMP-23</t>
  </si>
  <si>
    <t>Rio de Janerio</t>
  </si>
  <si>
    <t>EMP-24</t>
  </si>
  <si>
    <t>EMP-25</t>
  </si>
  <si>
    <t>EMP-26</t>
  </si>
  <si>
    <t>EMP-27</t>
  </si>
  <si>
    <t>Quality Engineer</t>
  </si>
  <si>
    <t>EMP-28</t>
  </si>
  <si>
    <t>EMP-29</t>
  </si>
  <si>
    <t>Engineering Manager</t>
  </si>
  <si>
    <t>Beijing</t>
  </si>
  <si>
    <t>EMP-30</t>
  </si>
  <si>
    <t>EMP-31</t>
  </si>
  <si>
    <t>IT Coordinator</t>
  </si>
  <si>
    <t>EMP-32</t>
  </si>
  <si>
    <t>EMP-33</t>
  </si>
  <si>
    <t>Analyst II</t>
  </si>
  <si>
    <t>EMP-34</t>
  </si>
  <si>
    <t>EMP-35</t>
  </si>
  <si>
    <t>EMP-36</t>
  </si>
  <si>
    <t>Enterprise Architect</t>
  </si>
  <si>
    <t>EMP-37</t>
  </si>
  <si>
    <t>Chengdu</t>
  </si>
  <si>
    <t>EMP-38</t>
  </si>
  <si>
    <t>EMP-39</t>
  </si>
  <si>
    <t>EMP-40</t>
  </si>
  <si>
    <t>EMP-41</t>
  </si>
  <si>
    <t>Sr. Business Partner</t>
  </si>
  <si>
    <t>EMP-42</t>
  </si>
  <si>
    <t>EMP-43</t>
  </si>
  <si>
    <t>EMP-44</t>
  </si>
  <si>
    <t>EMP-45</t>
  </si>
  <si>
    <t>EMP-46</t>
  </si>
  <si>
    <t>EMP-47</t>
  </si>
  <si>
    <t>EMP-48</t>
  </si>
  <si>
    <t>EMP-49</t>
  </si>
  <si>
    <t>EMP-50</t>
  </si>
  <si>
    <t>EMP-51</t>
  </si>
  <si>
    <t>HRIS Analyst</t>
  </si>
  <si>
    <t>EMP-52</t>
  </si>
  <si>
    <t>EMP-53</t>
  </si>
  <si>
    <t>EMP-54</t>
  </si>
  <si>
    <t>EMP-55</t>
  </si>
  <si>
    <t>EMP-56</t>
  </si>
  <si>
    <t>Field Engineer</t>
  </si>
  <si>
    <t>EMP-57</t>
  </si>
  <si>
    <t>Automation Engineer</t>
  </si>
  <si>
    <t>EMP-58</t>
  </si>
  <si>
    <t>Operations Engineer</t>
  </si>
  <si>
    <t>EMP-59</t>
  </si>
  <si>
    <t>Business Partner</t>
  </si>
  <si>
    <t>EMP-60</t>
  </si>
  <si>
    <t>EMP-61</t>
  </si>
  <si>
    <t>EMP-62</t>
  </si>
  <si>
    <t>EMP-63</t>
  </si>
  <si>
    <t>EMP-64</t>
  </si>
  <si>
    <t>EMP-65</t>
  </si>
  <si>
    <t>EMP-66</t>
  </si>
  <si>
    <t>EMP-67</t>
  </si>
  <si>
    <t>EMP-68</t>
  </si>
  <si>
    <t>EMP-69</t>
  </si>
  <si>
    <t>EMP-70</t>
  </si>
  <si>
    <t>Cloud Infrastructure Architect</t>
  </si>
  <si>
    <t>EMP-71</t>
  </si>
  <si>
    <t>EMP-72</t>
  </si>
  <si>
    <t>EMP-73</t>
  </si>
  <si>
    <t>EMP-74</t>
  </si>
  <si>
    <t>EMP-75</t>
  </si>
  <si>
    <t>Sao Paulo</t>
  </si>
  <si>
    <t>EMP-76</t>
  </si>
  <si>
    <t>EMP-77</t>
  </si>
  <si>
    <t>Test Engineer</t>
  </si>
  <si>
    <t>EMP-78</t>
  </si>
  <si>
    <t>EMP-79</t>
  </si>
  <si>
    <t>EMP-80</t>
  </si>
  <si>
    <t>EMP-81</t>
  </si>
  <si>
    <t>EMP-82</t>
  </si>
  <si>
    <t>EMP-83</t>
  </si>
  <si>
    <t>EMP-84</t>
  </si>
  <si>
    <t>EMP-85</t>
  </si>
  <si>
    <t>EMP-86</t>
  </si>
  <si>
    <t>EMP-87</t>
  </si>
  <si>
    <t>EMP-88</t>
  </si>
  <si>
    <t>EMP-89</t>
  </si>
  <si>
    <t>Network Architect</t>
  </si>
  <si>
    <t>EMP-90</t>
  </si>
  <si>
    <t>Network Engineer</t>
  </si>
  <si>
    <t>EMP-91</t>
  </si>
  <si>
    <t>EMP-92</t>
  </si>
  <si>
    <t>EMP-93</t>
  </si>
  <si>
    <t>EMP-94</t>
  </si>
  <si>
    <t>EMP-95</t>
  </si>
  <si>
    <t>EMP-96</t>
  </si>
  <si>
    <t>EMP-97</t>
  </si>
  <si>
    <t>EMP-98</t>
  </si>
  <si>
    <t>EMP-99</t>
  </si>
  <si>
    <t>EMP-100</t>
  </si>
  <si>
    <t>EMP-101</t>
  </si>
  <si>
    <t>EMP-102</t>
  </si>
  <si>
    <t>EMP-103</t>
  </si>
  <si>
    <t>Development Engineer</t>
  </si>
  <si>
    <t>EMP-104</t>
  </si>
  <si>
    <t>EMP-105</t>
  </si>
  <si>
    <t>EMP-106</t>
  </si>
  <si>
    <t>EMP-107</t>
  </si>
  <si>
    <t>EMP-108</t>
  </si>
  <si>
    <t>EMP-109</t>
  </si>
  <si>
    <t>EMP-110</t>
  </si>
  <si>
    <t>EMP-111</t>
  </si>
  <si>
    <t>Sr. Account Representative</t>
  </si>
  <si>
    <t>EMP-112</t>
  </si>
  <si>
    <t>EMP-113</t>
  </si>
  <si>
    <t>System Administrator </t>
  </si>
  <si>
    <t>EMP-114</t>
  </si>
  <si>
    <t>EMP-115</t>
  </si>
  <si>
    <t>EMP-116</t>
  </si>
  <si>
    <t>EMP-117</t>
  </si>
  <si>
    <t>EMP-118</t>
  </si>
  <si>
    <t>EMP-119</t>
  </si>
  <si>
    <t>EMP-120</t>
  </si>
  <si>
    <t>EMP-121</t>
  </si>
  <si>
    <t>EMP-122</t>
  </si>
  <si>
    <t>EMP-123</t>
  </si>
  <si>
    <t>EMP-124</t>
  </si>
  <si>
    <t>EMP-125</t>
  </si>
  <si>
    <t>EMP-126</t>
  </si>
  <si>
    <t>EMP-127</t>
  </si>
  <si>
    <t>EMP-128</t>
  </si>
  <si>
    <t>Systems Analyst</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</si>
  <si>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</si>
  <si>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</si>
  <si>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</si>
  <si>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</si>
  <si>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</si>
  <si>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</si>
  <si>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</si>
  <si>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</si>
  <si>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</si>
  <si>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</si>
  <si>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</si>
  <si>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</si>
  <si>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</si>
  <si>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</si>
  <si>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</si>
  <si>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</si>
  <si>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</si>
  <si>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</si>
  <si>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</si>
  <si>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</si>
  <si>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</si>
  <si>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Solutions Architect</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</si>
  <si>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</si>
  <si>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</si>
  <si>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</si>
  <si>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</si>
  <si>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</si>
  <si>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</si>
  <si>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</si>
  <si>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</si>
  <si>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</si>
  <si>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</si>
  <si>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</si>
  <si>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</si>
  <si>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</si>
  <si>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</si>
  <si>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</si>
  <si>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</si>
  <si>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</si>
  <si>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</si>
  <si>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</si>
  <si>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</si>
  <si>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</si>
  <si>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</si>
  <si>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</si>
  <si>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</si>
  <si>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</si>
  <si>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</si>
  <si>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</si>
  <si>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</si>
  <si>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</si>
  <si>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</si>
  <si>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</si>
  <si>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</si>
  <si>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</si>
  <si>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</si>
  <si>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</si>
  <si>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</si>
  <si>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IT Systems Architect</t>
  </si>
  <si>
    <t>EMP-186</t>
  </si>
  <si>
    <t>EMP-187</t>
  </si>
  <si>
    <t>EMP-188</t>
  </si>
  <si>
    <t>EMP-189</t>
  </si>
  <si>
    <t>EMP-190</t>
  </si>
  <si>
    <t>EMP-191</t>
  </si>
  <si>
    <t>EMP-192</t>
  </si>
  <si>
    <t>EMP-193</t>
  </si>
  <si>
    <t>EMP-194</t>
  </si>
  <si>
    <t>EMP-195</t>
  </si>
  <si>
    <t>Service Desk Analyst</t>
  </si>
  <si>
    <t>EMP-196</t>
  </si>
  <si>
    <t>EMP-197</t>
  </si>
  <si>
    <t>EMP-198</t>
  </si>
  <si>
    <t>EMP-199</t>
  </si>
  <si>
    <t>EMP-200</t>
  </si>
  <si>
    <t>EMP-201</t>
  </si>
  <si>
    <t>EMP-202</t>
  </si>
  <si>
    <t>EMP-203</t>
  </si>
  <si>
    <t>EMP-204</t>
  </si>
  <si>
    <t>EMP-205</t>
  </si>
  <si>
    <t>EMP-206</t>
  </si>
  <si>
    <t>Network Administrator</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</si>
  <si>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</si>
  <si>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</si>
  <si>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</si>
  <si>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</si>
  <si>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</si>
  <si>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</si>
  <si>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</si>
  <si>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</si>
  <si>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</si>
  <si>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</si>
  <si>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</si>
  <si>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</si>
  <si>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</si>
  <si>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</si>
  <si>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</si>
  <si>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</si>
  <si>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</si>
  <si>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</si>
  <si>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</si>
  <si>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</si>
  <si>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</si>
  <si>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</si>
  <si>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</si>
  <si>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</si>
  <si>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</si>
  <si>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</si>
  <si>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</si>
  <si>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</si>
  <si>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</si>
  <si>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</si>
  <si>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</si>
  <si>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</si>
  <si>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</si>
  <si>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</si>
  <si>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</si>
  <si>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</si>
  <si>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</si>
  <si>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</si>
  <si>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</si>
  <si>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</si>
  <si>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</si>
  <si>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</si>
  <si>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</si>
  <si>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</si>
  <si>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</si>
  <si>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</si>
  <si>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</si>
  <si>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</si>
  <si>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</si>
  <si>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</si>
  <si>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</si>
  <si>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</si>
  <si>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</si>
  <si>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</si>
  <si>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</si>
  <si>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</si>
  <si>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</si>
  <si>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</si>
  <si>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</si>
  <si>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</si>
  <si>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</si>
  <si>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</si>
  <si>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</si>
  <si>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</si>
  <si>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</si>
  <si>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</si>
  <si>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</si>
  <si>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</si>
  <si>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</si>
  <si>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</si>
  <si>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</si>
  <si>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</si>
  <si>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</si>
  <si>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</si>
  <si>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</si>
  <si>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</si>
  <si>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</si>
  <si>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</si>
  <si>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</si>
  <si>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</si>
  <si>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</si>
  <si>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</si>
  <si>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</si>
  <si>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</si>
  <si>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</si>
  <si>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</si>
  <si>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</si>
  <si>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</si>
  <si>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</si>
  <si>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</si>
  <si>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</si>
  <si>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</si>
  <si>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</si>
  <si>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</si>
  <si>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</si>
  <si>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</si>
  <si>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</si>
  <si>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</si>
  <si>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</si>
  <si>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</si>
  <si>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</si>
  <si>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</si>
  <si>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</si>
  <si>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</si>
  <si>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</si>
  <si>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</si>
  <si>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</si>
  <si>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</si>
  <si>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</si>
  <si>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</si>
  <si>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</si>
  <si>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</si>
  <si>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</si>
  <si>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</si>
  <si>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</si>
  <si>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</si>
  <si>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</si>
  <si>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</si>
  <si>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</si>
  <si>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</si>
  <si>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</si>
  <si>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</si>
  <si>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</si>
  <si>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</si>
  <si>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</si>
  <si>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</si>
  <si>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</si>
  <si>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</si>
  <si>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</si>
  <si>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</si>
  <si>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</si>
  <si>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</si>
  <si>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</si>
  <si>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</si>
  <si>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</si>
  <si>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</si>
  <si>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</si>
  <si>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</si>
  <si>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</si>
  <si>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</si>
  <si>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</si>
  <si>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</si>
  <si>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</si>
  <si>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</si>
  <si>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</si>
  <si>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</si>
  <si>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</si>
  <si>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</si>
  <si>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</si>
  <si>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</si>
  <si>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</si>
  <si>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</si>
  <si>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</si>
  <si>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</si>
  <si>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</si>
  <si>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</si>
  <si>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</si>
  <si>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</si>
  <si>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</si>
  <si>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</si>
  <si>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</si>
  <si>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</si>
  <si>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</si>
  <si>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</si>
  <si>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</si>
  <si>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</si>
  <si>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</si>
  <si>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</si>
  <si>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</si>
  <si>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</si>
  <si>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</si>
  <si>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</si>
  <si>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</si>
  <si>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</si>
  <si>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</si>
  <si>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</si>
  <si>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</si>
  <si>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</si>
  <si>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</si>
  <si>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</si>
  <si>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</si>
  <si>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</si>
  <si>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</si>
  <si>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</si>
  <si>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</si>
  <si>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</si>
  <si>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</si>
  <si>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</si>
  <si>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</si>
  <si>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</si>
  <si>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</si>
  <si>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</si>
  <si>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</si>
  <si>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</si>
  <si>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</si>
  <si>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</si>
  <si>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</si>
  <si>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</si>
  <si>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</si>
  <si>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</si>
  <si>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</si>
  <si>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</si>
  <si>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</si>
  <si>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</si>
  <si>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</si>
  <si>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</si>
  <si>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</si>
  <si>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</si>
  <si>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</si>
  <si>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</si>
  <si>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</si>
  <si>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</si>
  <si>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</si>
  <si>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</si>
  <si>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</si>
  <si>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</si>
  <si>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</si>
  <si>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</si>
  <si>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</si>
  <si>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</si>
  <si>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</si>
  <si>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</si>
  <si>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</si>
  <si>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</si>
  <si>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</si>
  <si>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</si>
  <si>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</si>
  <si>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</si>
  <si>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</si>
  <si>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</si>
  <si>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</si>
  <si>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</si>
  <si>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</si>
  <si>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</si>
  <si>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</si>
  <si>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</si>
  <si>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</si>
  <si>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</si>
  <si>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</si>
  <si>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</si>
  <si>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</si>
  <si>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</si>
  <si>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</si>
  <si>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</si>
  <si>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</si>
  <si>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</si>
  <si>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</si>
  <si>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</si>
  <si>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</si>
  <si>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</si>
  <si>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</si>
  <si>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</si>
  <si>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</si>
  <si>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</si>
  <si>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</si>
  <si>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</si>
  <si>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</si>
  <si>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</si>
  <si>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</si>
  <si>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</si>
  <si>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</si>
  <si>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</si>
  <si>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</si>
  <si>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</si>
  <si>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</si>
  <si>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</si>
  <si>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</si>
  <si>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</si>
  <si>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</si>
  <si>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</si>
  <si>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</si>
  <si>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</si>
  <si>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</si>
  <si>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</si>
  <si>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</si>
  <si>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</si>
  <si>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</si>
  <si>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</si>
  <si>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</si>
  <si>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</si>
  <si>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</si>
  <si>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</si>
  <si>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</si>
  <si>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</si>
  <si>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</si>
  <si>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</si>
  <si>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</si>
  <si>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</si>
  <si>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</si>
  <si>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</si>
  <si>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</si>
  <si>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</si>
  <si>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</si>
  <si>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</si>
  <si>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</si>
  <si>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</si>
  <si>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</si>
  <si>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</si>
  <si>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EMP-505</t>
  </si>
  <si>
    <t>EMP-506</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</si>
  <si>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</si>
  <si>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</si>
  <si>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</si>
  <si>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</si>
  <si>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</si>
  <si>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</si>
  <si>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</si>
  <si>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</si>
  <si>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</si>
  <si>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</si>
  <si>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</si>
  <si>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</si>
  <si>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</si>
  <si>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</si>
  <si>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</si>
  <si>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</si>
  <si>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</si>
  <si>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</si>
  <si>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</si>
  <si>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</si>
  <si>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</si>
  <si>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</si>
  <si>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</si>
  <si>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</si>
  <si>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</si>
  <si>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</si>
  <si>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</si>
  <si>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</si>
  <si>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</si>
  <si>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</si>
  <si>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</si>
  <si>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</si>
  <si>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</si>
  <si>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</si>
  <si>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</si>
  <si>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</si>
  <si>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</si>
  <si>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</si>
  <si>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</si>
  <si>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</si>
  <si>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</si>
  <si>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</si>
  <si>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</si>
  <si>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</si>
  <si>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</si>
  <si>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</si>
  <si>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</si>
  <si>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</si>
  <si>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</si>
  <si>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</si>
  <si>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</si>
  <si>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</si>
  <si>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</si>
  <si>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</si>
  <si>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</si>
  <si>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</si>
  <si>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</si>
  <si>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</si>
  <si>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</si>
  <si>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</si>
  <si>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</si>
  <si>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</si>
  <si>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</si>
  <si>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</si>
  <si>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</si>
  <si>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</si>
  <si>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</si>
  <si>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</si>
  <si>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</si>
  <si>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</si>
  <si>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</si>
  <si>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</si>
  <si>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</si>
  <si>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</si>
  <si>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</si>
  <si>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</si>
  <si>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</si>
  <si>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</si>
  <si>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</si>
  <si>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</si>
  <si>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</si>
  <si>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</si>
  <si>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</si>
  <si>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</si>
  <si>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</si>
  <si>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</si>
  <si>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</si>
  <si>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</si>
  <si>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</si>
  <si>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</si>
  <si>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</si>
  <si>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</si>
  <si>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</si>
  <si>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</si>
  <si>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</si>
  <si>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</si>
  <si>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</si>
  <si>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</si>
  <si>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</si>
  <si>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</si>
  <si>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</si>
  <si>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</si>
  <si>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</si>
  <si>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</si>
  <si>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</si>
  <si>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</si>
  <si>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</si>
  <si>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</si>
  <si>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</si>
  <si>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</si>
  <si>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</si>
  <si>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</si>
  <si>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</si>
  <si>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</si>
  <si>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</si>
  <si>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</si>
  <si>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</si>
  <si>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</si>
  <si>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</si>
  <si>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</si>
  <si>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</si>
  <si>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</si>
  <si>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</si>
  <si>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</si>
  <si>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</si>
  <si>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</si>
  <si>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</si>
  <si>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</si>
  <si>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</si>
  <si>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</si>
  <si>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</si>
  <si>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</si>
  <si>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</si>
  <si>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</si>
  <si>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</si>
  <si>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</si>
  <si>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</si>
  <si>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</si>
  <si>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</si>
  <si>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</si>
  <si>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</si>
  <si>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</si>
  <si>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</si>
  <si>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</si>
  <si>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</si>
  <si>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</si>
  <si>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</si>
  <si>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</si>
  <si>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</si>
  <si>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</si>
  <si>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</si>
  <si>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</si>
  <si>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</si>
  <si>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</si>
  <si>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</si>
  <si>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</si>
  <si>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</si>
  <si>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</si>
  <si>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</si>
  <si>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</si>
  <si>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</si>
  <si>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</si>
  <si>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</si>
  <si>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</si>
  <si>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</si>
  <si>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</si>
  <si>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</si>
  <si>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</si>
  <si>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</si>
  <si>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</si>
  <si>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</si>
  <si>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</si>
  <si>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</si>
  <si>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</si>
  <si>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</si>
  <si>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</si>
  <si>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</si>
  <si>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</si>
  <si>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</si>
  <si>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</si>
  <si>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</si>
  <si>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</si>
  <si>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</si>
  <si>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EMP-690</t>
  </si>
  <si>
    <t>EMP-691</t>
  </si>
  <si>
    <t>EMP-692</t>
  </si>
  <si>
    <t>EMP-693</t>
  </si>
  <si>
    <t>EMP-694</t>
  </si>
  <si>
    <t>EMP-695</t>
  </si>
  <si>
    <t>EMP-696</t>
  </si>
  <si>
    <t>EMP-697</t>
  </si>
  <si>
    <t>EMP-698</t>
  </si>
  <si>
    <t>EMP-699</t>
  </si>
  <si>
    <t>EMP-700</t>
  </si>
  <si>
    <t>EMP-701</t>
  </si>
  <si>
    <t>EMP-702</t>
  </si>
  <si>
    <t>EMP-703</t>
  </si>
  <si>
    <t>EMP-704</t>
  </si>
  <si>
    <t>EMP-705</t>
  </si>
  <si>
    <t>EMP-706</t>
  </si>
  <si>
    <t>EMP-707</t>
  </si>
  <si>
    <t>EMP-708</t>
  </si>
  <si>
    <t>EMP-709</t>
  </si>
  <si>
    <t>EMP-710</t>
  </si>
  <si>
    <t>EMP-711</t>
  </si>
  <si>
    <t>EMP-712</t>
  </si>
  <si>
    <t>EMP-713</t>
  </si>
  <si>
    <t>EMP-714</t>
  </si>
  <si>
    <t>EMP-715</t>
  </si>
  <si>
    <t>EMP-716</t>
  </si>
  <si>
    <t>EMP-717</t>
  </si>
  <si>
    <t>EMP-718</t>
  </si>
  <si>
    <t>EMP-719</t>
  </si>
  <si>
    <t>EMP-720</t>
  </si>
  <si>
    <t>EMP-721</t>
  </si>
  <si>
    <t>EMP-722</t>
  </si>
  <si>
    <t>EMP-723</t>
  </si>
  <si>
    <t>EMP-724</t>
  </si>
  <si>
    <t>EMP-725</t>
  </si>
  <si>
    <t>EMP-726</t>
  </si>
  <si>
    <t>EMP-727</t>
  </si>
  <si>
    <t>EMP-728</t>
  </si>
  <si>
    <t>EMP-729</t>
  </si>
  <si>
    <t>EMP-730</t>
  </si>
  <si>
    <t>EMP-731</t>
  </si>
  <si>
    <t>EMP-732</t>
  </si>
  <si>
    <t>EMP-733</t>
  </si>
  <si>
    <t>EMP-734</t>
  </si>
  <si>
    <t>EMP-735</t>
  </si>
  <si>
    <t>EMP-736</t>
  </si>
  <si>
    <t>EMP-737</t>
  </si>
  <si>
    <t>EMP-738</t>
  </si>
  <si>
    <t>EMP-739</t>
  </si>
  <si>
    <t>EMP-740</t>
  </si>
  <si>
    <t>EMP-741</t>
  </si>
  <si>
    <t>EMP-742</t>
  </si>
  <si>
    <t>EMP-743</t>
  </si>
  <si>
    <t>EMP-744</t>
  </si>
  <si>
    <t>EMP-745</t>
  </si>
  <si>
    <t>EMP-746</t>
  </si>
  <si>
    <t>EMP-747</t>
  </si>
  <si>
    <t>EMP-748</t>
  </si>
  <si>
    <t>EMP-749</t>
  </si>
  <si>
    <t>EMP-750</t>
  </si>
  <si>
    <t>EMP-751</t>
  </si>
  <si>
    <t>EMP-752</t>
  </si>
  <si>
    <t>EMP-753</t>
  </si>
  <si>
    <t>EMP-754</t>
  </si>
  <si>
    <t>EMP-755</t>
  </si>
  <si>
    <t>EMP-756</t>
  </si>
  <si>
    <t>EMP-757</t>
  </si>
  <si>
    <t>EMP-758</t>
  </si>
  <si>
    <t>EMP-759</t>
  </si>
  <si>
    <t>EMP-760</t>
  </si>
  <si>
    <t>EMP-761</t>
  </si>
  <si>
    <t>EMP-762</t>
  </si>
  <si>
    <t>EMP-763</t>
  </si>
  <si>
    <t>EMP-764</t>
  </si>
  <si>
    <t>EMP-765</t>
  </si>
  <si>
    <t>EMP-766</t>
  </si>
  <si>
    <t>EMP-767</t>
  </si>
  <si>
    <t>EMP-768</t>
  </si>
  <si>
    <t>EMP-769</t>
  </si>
  <si>
    <t>EMP-770</t>
  </si>
  <si>
    <t>EMP-771</t>
  </si>
  <si>
    <t>EMP-772</t>
  </si>
  <si>
    <t>EMP-773</t>
  </si>
  <si>
    <t>EMP-774</t>
  </si>
  <si>
    <t>EMP-775</t>
  </si>
  <si>
    <t>EMP-776</t>
  </si>
  <si>
    <t>EMP-777</t>
  </si>
  <si>
    <t>EMP-778</t>
  </si>
  <si>
    <t>EMP-779</t>
  </si>
  <si>
    <t>EMP-780</t>
  </si>
  <si>
    <t>EMP-781</t>
  </si>
  <si>
    <t>EMP-782</t>
  </si>
  <si>
    <t>EMP-783</t>
  </si>
  <si>
    <t>EMP-784</t>
  </si>
  <si>
    <t>EMP-785</t>
  </si>
  <si>
    <t>EMP-786</t>
  </si>
  <si>
    <t>EMP-787</t>
  </si>
  <si>
    <t>EMP-788</t>
  </si>
  <si>
    <t>EMP-789</t>
  </si>
  <si>
    <t>EMP-790</t>
  </si>
  <si>
    <t>EMP-791</t>
  </si>
  <si>
    <t>EMP-792</t>
  </si>
  <si>
    <t>EMP-793</t>
  </si>
  <si>
    <t>EMP-794</t>
  </si>
  <si>
    <t>EMP-795</t>
  </si>
  <si>
    <t>EMP-796</t>
  </si>
  <si>
    <t>EMP-797</t>
  </si>
  <si>
    <t>EMP-798</t>
  </si>
  <si>
    <t>EMP-799</t>
  </si>
  <si>
    <t>EMP-800</t>
  </si>
  <si>
    <t>EMP-801</t>
  </si>
  <si>
    <t>EMP-802</t>
  </si>
  <si>
    <t>EMP-803</t>
  </si>
  <si>
    <t>EMP-804</t>
  </si>
  <si>
    <t>EMP-805</t>
  </si>
  <si>
    <t>EMP-806</t>
  </si>
  <si>
    <t>EMP-807</t>
  </si>
  <si>
    <t>EMP-808</t>
  </si>
  <si>
    <t>EMP-809</t>
  </si>
  <si>
    <t>EMP-810</t>
  </si>
  <si>
    <t>EMP-811</t>
  </si>
  <si>
    <t>EMP-812</t>
  </si>
  <si>
    <t>EMP-813</t>
  </si>
  <si>
    <t>EMP-814</t>
  </si>
  <si>
    <t>EMP-815</t>
  </si>
  <si>
    <t>EMP-816</t>
  </si>
  <si>
    <t>EMP-817</t>
  </si>
  <si>
    <t>EMP-818</t>
  </si>
  <si>
    <t>EMP-819</t>
  </si>
  <si>
    <t>EMP-820</t>
  </si>
  <si>
    <t>EMP-821</t>
  </si>
  <si>
    <t>EMP-822</t>
  </si>
  <si>
    <t>EMP-823</t>
  </si>
  <si>
    <t>EMP-824</t>
  </si>
  <si>
    <t>EMP-825</t>
  </si>
  <si>
    <t>EMP-826</t>
  </si>
  <si>
    <t>EMP-827</t>
  </si>
  <si>
    <t>EMP-828</t>
  </si>
  <si>
    <t>EMP-829</t>
  </si>
  <si>
    <t>EMP-830</t>
  </si>
  <si>
    <t>EMP-831</t>
  </si>
  <si>
    <t>EMP-832</t>
  </si>
  <si>
    <t>EMP-833</t>
  </si>
  <si>
    <t>EMP-834</t>
  </si>
  <si>
    <t>EMP-835</t>
  </si>
  <si>
    <t>EMP-836</t>
  </si>
  <si>
    <t>EMP-837</t>
  </si>
  <si>
    <t>EMP-838</t>
  </si>
  <si>
    <t>EMP-839</t>
  </si>
  <si>
    <t>EMP-840</t>
  </si>
  <si>
    <t>EMP-841</t>
  </si>
  <si>
    <t>EMP-842</t>
  </si>
  <si>
    <t>EMP-843</t>
  </si>
  <si>
    <t>EMP-844</t>
  </si>
  <si>
    <t>EMP-845</t>
  </si>
  <si>
    <t>EMP-846</t>
  </si>
  <si>
    <t>EMP-847</t>
  </si>
  <si>
    <t>EMP-848</t>
  </si>
  <si>
    <t>EMP-849</t>
  </si>
  <si>
    <t>EMP-850</t>
  </si>
  <si>
    <t>EMP-851</t>
  </si>
  <si>
    <t>EMP-852</t>
  </si>
  <si>
    <t>EMP-853</t>
  </si>
  <si>
    <t>EMP-854</t>
  </si>
  <si>
    <t>EMP-855</t>
  </si>
  <si>
    <t>EMP-856</t>
  </si>
  <si>
    <t>EMP-857</t>
  </si>
  <si>
    <t>EMP-858</t>
  </si>
  <si>
    <t>EMP-859</t>
  </si>
  <si>
    <t>EMP-860</t>
  </si>
  <si>
    <t>EMP-861</t>
  </si>
  <si>
    <t>EMP-862</t>
  </si>
  <si>
    <t>EMP-863</t>
  </si>
  <si>
    <t>EMP-864</t>
  </si>
  <si>
    <t>EMP-865</t>
  </si>
  <si>
    <t>EMP-866</t>
  </si>
  <si>
    <t>EMP-867</t>
  </si>
  <si>
    <t>EMP-868</t>
  </si>
  <si>
    <t>EMP-869</t>
  </si>
  <si>
    <t>EMP-870</t>
  </si>
  <si>
    <t>EMP-871</t>
  </si>
  <si>
    <t>EMP-872</t>
  </si>
  <si>
    <t>EMP-873</t>
  </si>
  <si>
    <t>EMP-874</t>
  </si>
  <si>
    <t>EMP-875</t>
  </si>
  <si>
    <t>EMP-876</t>
  </si>
  <si>
    <t>EMP-877</t>
  </si>
  <si>
    <t>EMP-878</t>
  </si>
  <si>
    <t>EMP-879</t>
  </si>
  <si>
    <t>EMP-880</t>
  </si>
  <si>
    <t>EMP-881</t>
  </si>
  <si>
    <t>EMP-882</t>
  </si>
  <si>
    <t>EMP-883</t>
  </si>
  <si>
    <t>EMP-884</t>
  </si>
  <si>
    <t>EMP-885</t>
  </si>
  <si>
    <t>EMP-886</t>
  </si>
  <si>
    <t>EMP-887</t>
  </si>
  <si>
    <t>EMP-888</t>
  </si>
  <si>
    <t>EMP-889</t>
  </si>
  <si>
    <t>EMP-890</t>
  </si>
  <si>
    <t>EMP-891</t>
  </si>
  <si>
    <t>EMP-892</t>
  </si>
  <si>
    <t>EMP-893</t>
  </si>
  <si>
    <t>EMP-894</t>
  </si>
  <si>
    <t>EMP-895</t>
  </si>
  <si>
    <t>EMP-896</t>
  </si>
  <si>
    <t>EMP-897</t>
  </si>
  <si>
    <t>EMP-898</t>
  </si>
  <si>
    <t>EMP-899</t>
  </si>
  <si>
    <t>EMP-900</t>
  </si>
  <si>
    <t>EMP-901</t>
  </si>
  <si>
    <t>EMP-902</t>
  </si>
  <si>
    <t>EMP-903</t>
  </si>
  <si>
    <t>EMP-904</t>
  </si>
  <si>
    <t>EMP-905</t>
  </si>
  <si>
    <t>EMP-906</t>
  </si>
  <si>
    <t>EMP-907</t>
  </si>
  <si>
    <t>EMP-908</t>
  </si>
  <si>
    <t>EMP-909</t>
  </si>
  <si>
    <t>EMP-910</t>
  </si>
  <si>
    <t>EMP-911</t>
  </si>
  <si>
    <t>EMP-912</t>
  </si>
  <si>
    <t>EMP-913</t>
  </si>
  <si>
    <t>EMP-914</t>
  </si>
  <si>
    <t>EMP-915</t>
  </si>
  <si>
    <t>EMP-916</t>
  </si>
  <si>
    <t>EMP-917</t>
  </si>
  <si>
    <t>EMP-918</t>
  </si>
  <si>
    <t>EMP-919</t>
  </si>
  <si>
    <t>EMP-920</t>
  </si>
  <si>
    <t>EMP-921</t>
  </si>
  <si>
    <t>EMP-922</t>
  </si>
  <si>
    <t>EMP-923</t>
  </si>
  <si>
    <t>EMP-924</t>
  </si>
  <si>
    <t>EMP-925</t>
  </si>
  <si>
    <t>EMP-926</t>
  </si>
  <si>
    <t>EMP-927</t>
  </si>
  <si>
    <t>EMP-928</t>
  </si>
  <si>
    <t>EMP-929</t>
  </si>
  <si>
    <t>EMP-930</t>
  </si>
  <si>
    <t>EMP-931</t>
  </si>
  <si>
    <t>EMP-932</t>
  </si>
  <si>
    <t>EMP-933</t>
  </si>
  <si>
    <t>EMP-934</t>
  </si>
  <si>
    <t>EMP-935</t>
  </si>
  <si>
    <t>EMP-936</t>
  </si>
  <si>
    <t>EMP-937</t>
  </si>
  <si>
    <t>EMP-938</t>
  </si>
  <si>
    <t>EMP-939</t>
  </si>
  <si>
    <t>EMP-940</t>
  </si>
  <si>
    <t>EMP-941</t>
  </si>
  <si>
    <t>EMP-942</t>
  </si>
  <si>
    <t>EMP-943</t>
  </si>
  <si>
    <t>EMP-944</t>
  </si>
  <si>
    <t>EMP-945</t>
  </si>
  <si>
    <t>EMP-946</t>
  </si>
  <si>
    <t>EMP-947</t>
  </si>
  <si>
    <t>EMP-948</t>
  </si>
  <si>
    <t>EMP-949</t>
  </si>
  <si>
    <t>EMP-950</t>
  </si>
  <si>
    <t>EMP-951</t>
  </si>
  <si>
    <t>EMP-952</t>
  </si>
  <si>
    <t>EMP-953</t>
  </si>
  <si>
    <t>EMP-954</t>
  </si>
  <si>
    <t>EMP-955</t>
  </si>
  <si>
    <t>EMP-956</t>
  </si>
  <si>
    <t>EMP-957</t>
  </si>
  <si>
    <t>EMP-958</t>
  </si>
  <si>
    <t>EMP-959</t>
  </si>
  <si>
    <t>EMP-960</t>
  </si>
  <si>
    <t>EMP-961</t>
  </si>
  <si>
    <t>EMP-962</t>
  </si>
  <si>
    <t>EMP-963</t>
  </si>
  <si>
    <t>EMP-964</t>
  </si>
  <si>
    <t>EMP-965</t>
  </si>
  <si>
    <t>EMP-966</t>
  </si>
  <si>
    <t>EMP-967</t>
  </si>
  <si>
    <t>EMP-968</t>
  </si>
  <si>
    <t>EMP-969</t>
  </si>
  <si>
    <t>EMP-970</t>
  </si>
  <si>
    <t>EMP-971</t>
  </si>
  <si>
    <t>EMP-972</t>
  </si>
  <si>
    <t>EMP-973</t>
  </si>
  <si>
    <t>EMP-974</t>
  </si>
  <si>
    <t>EMP-975</t>
  </si>
  <si>
    <t>EMP-976</t>
  </si>
  <si>
    <t>EMP-977</t>
  </si>
  <si>
    <t>EMP-978</t>
  </si>
  <si>
    <t>EMP-979</t>
  </si>
  <si>
    <t>EMP-980</t>
  </si>
  <si>
    <t>EMP-981</t>
  </si>
  <si>
    <t>EMP-982</t>
  </si>
  <si>
    <t>EMP-983</t>
  </si>
  <si>
    <t>EMP-984</t>
  </si>
  <si>
    <t>EMP-985</t>
  </si>
  <si>
    <t>EMP-986</t>
  </si>
  <si>
    <t>EMP-987</t>
  </si>
  <si>
    <t>EMP-988</t>
  </si>
  <si>
    <t>EMP-989</t>
  </si>
  <si>
    <t>EMP-990</t>
  </si>
  <si>
    <t>EMP-991</t>
  </si>
  <si>
    <t>EMP-992</t>
  </si>
  <si>
    <t>EMP-993</t>
  </si>
  <si>
    <t>EMP-994</t>
  </si>
  <si>
    <t>EMP-995</t>
  </si>
  <si>
    <t>EMP-996</t>
  </si>
  <si>
    <t>EMP-997</t>
  </si>
  <si>
    <t>EMP-998</t>
  </si>
  <si>
    <t>EMP-999</t>
  </si>
  <si>
    <t>EMP-1000</t>
  </si>
  <si>
    <t>Total Employees</t>
  </si>
  <si>
    <t>Count of EMP ID</t>
  </si>
  <si>
    <t>Year</t>
  </si>
  <si>
    <t>Employee Status</t>
  </si>
  <si>
    <t>Row Labels</t>
  </si>
  <si>
    <t>Active</t>
  </si>
  <si>
    <t>Inactive</t>
  </si>
  <si>
    <t>Grand Total</t>
  </si>
  <si>
    <t>Active vs Inactive Employees</t>
  </si>
  <si>
    <t>Sum of Total Salary</t>
  </si>
  <si>
    <t xml:space="preserve">Employees Age Distribution </t>
  </si>
  <si>
    <t>Gender Vs Employees</t>
  </si>
  <si>
    <t>All</t>
  </si>
  <si>
    <t>Column Labels</t>
  </si>
  <si>
    <t>Top 10 Employees by Job Title</t>
  </si>
  <si>
    <t>Top 10 job Title by Highest Salary</t>
  </si>
  <si>
    <t>Employees Count by Department</t>
  </si>
  <si>
    <t>Year by Employees Count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</si>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</sst>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 fontId="0" fillId="0" borderId="0" xfId="0" applyNumberFormat="1"/>
  </cellXfs>
  <cellStyles count="2">
    <cellStyle name="Normal" xfId="0" builtinId="0"/>
    <cellStyle name="Percent" xfId="1" builtinId="5"/>
  </cellStyles>
  <dxfs count="12">
    <dxf>
      <numFmt numFmtId="1" formatCode="0"/>
    </dxf>
    <dxf>
      <numFmt numFmtId="0" formatCode="General"/>
    </dxf>
    <dxf>
      <numFmt numFmtId="0" formatCode="General"/>
    </dxf>
    <dxf>
      <numFmt numFmtId="19" formatCode="dd/mm/yy"/>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Dashboard.xlsx]Sheet2!PivotTable4</c:name>
    <c:fmtId val="5"/>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0.1"/>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7777777777777778"/>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17777777777777778"/>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3582099418879829"/>
              <c:y val="-5.24998553153595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8059712674730484"/>
              <c:y val="-0.157499565946078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25953233621234"/>
                  <c:h val="0.27899745945582038"/>
                </c:manualLayout>
              </c15:layout>
            </c:ext>
          </c:extLst>
        </c:dLbl>
      </c:pivotFmt>
    </c:pivotFmts>
    <c:plotArea>
      <c:layout>
        <c:manualLayout>
          <c:layoutTarget val="inner"/>
          <c:xMode val="edge"/>
          <c:yMode val="edge"/>
          <c:x val="0.17556739204589025"/>
          <c:y val="0.19001935821436713"/>
          <c:w val="0.59327097581119281"/>
          <c:h val="0.79498068312410164"/>
        </c:manualLayout>
      </c:layout>
      <c:doughnutChart>
        <c:varyColors val="1"/>
        <c:ser>
          <c:idx val="0"/>
          <c:order val="0"/>
          <c:tx>
            <c:strRef>
              <c:f>Sheet2!$B$7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75-4396-85DE-337C16BF4F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75-4396-85DE-337C16BF4F1B}"/>
              </c:ext>
            </c:extLst>
          </c:dPt>
          <c:dLbls>
            <c:dLbl>
              <c:idx val="0"/>
              <c:layout>
                <c:manualLayout>
                  <c:x val="0.33582099418879829"/>
                  <c:y val="-5.24998553153595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75-4396-85DE-337C16BF4F1B}"/>
                </c:ext>
              </c:extLst>
            </c:dLbl>
            <c:dLbl>
              <c:idx val="1"/>
              <c:layout>
                <c:manualLayout>
                  <c:x val="0.38059712674730484"/>
                  <c:y val="-0.15749956594607811"/>
                </c:manualLayout>
              </c:layout>
              <c:showLegendKey val="0"/>
              <c:showVal val="0"/>
              <c:showCatName val="1"/>
              <c:showSerName val="0"/>
              <c:showPercent val="1"/>
              <c:showBubbleSize val="0"/>
              <c:extLst>
                <c:ext xmlns:c15="http://schemas.microsoft.com/office/drawing/2012/chart" uri="{CE6537A1-D6FC-4f65-9D91-7224C49458BB}">
                  <c15:layout>
                    <c:manualLayout>
                      <c:w val="0.24425953233621234"/>
                      <c:h val="0.27899745945582038"/>
                    </c:manualLayout>
                  </c15:layout>
                </c:ext>
                <c:ext xmlns:c16="http://schemas.microsoft.com/office/drawing/2014/chart" uri="{C3380CC4-5D6E-409C-BE32-E72D297353CC}">
                  <c16:uniqueId val="{00000003-EE75-4396-85DE-337C16BF4F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Sheet2!$A$8:$A$10</c:f>
              <c:strCache>
                <c:ptCount val="2"/>
                <c:pt idx="0">
                  <c:v>Active</c:v>
                </c:pt>
                <c:pt idx="1">
                  <c:v>Inactive</c:v>
                </c:pt>
              </c:strCache>
            </c:strRef>
          </c:cat>
          <c:val>
            <c:numRef>
              <c:f>Sheet2!$B$8:$B$10</c:f>
              <c:numCache>
                <c:formatCode>General</c:formatCode>
                <c:ptCount val="2"/>
                <c:pt idx="0">
                  <c:v>915</c:v>
                </c:pt>
                <c:pt idx="1">
                  <c:v>85</c:v>
                </c:pt>
              </c:numCache>
            </c:numRef>
          </c:val>
          <c:extLst>
            <c:ext xmlns:c16="http://schemas.microsoft.com/office/drawing/2014/chart" uri="{C3380CC4-5D6E-409C-BE32-E72D297353CC}">
              <c16:uniqueId val="{00000004-EE75-4396-85DE-337C16BF4F1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9047959914101749E-2"/>
              <c:y val="-0.327222748135651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2192197566213573E-3"/>
              <c:y val="0.176239760112962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Sheet2!$L$13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B1-4E8E-860C-4ABD491D489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B1-4E8E-860C-4ABD491D489B}"/>
              </c:ext>
            </c:extLst>
          </c:dPt>
          <c:dLbls>
            <c:dLbl>
              <c:idx val="0"/>
              <c:layout>
                <c:manualLayout>
                  <c:x val="-1.9047959914101749E-2"/>
                  <c:y val="-0.327222748135651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B1-4E8E-860C-4ABD491D489B}"/>
                </c:ext>
              </c:extLst>
            </c:dLbl>
            <c:dLbl>
              <c:idx val="1"/>
              <c:layout>
                <c:manualLayout>
                  <c:x val="-5.2192197566213573E-3"/>
                  <c:y val="0.176239760112962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B1-4E8E-860C-4ABD491D48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Sheet2!$K$14:$K$16</c:f>
              <c:strCache>
                <c:ptCount val="2"/>
                <c:pt idx="0">
                  <c:v>Female</c:v>
                </c:pt>
                <c:pt idx="1">
                  <c:v>Male</c:v>
                </c:pt>
              </c:strCache>
            </c:strRef>
          </c:cat>
          <c:val>
            <c:numRef>
              <c:f>Sheet2!$L$14:$L$16</c:f>
              <c:numCache>
                <c:formatCode>General</c:formatCode>
                <c:ptCount val="2"/>
                <c:pt idx="0">
                  <c:v>518</c:v>
                </c:pt>
                <c:pt idx="1">
                  <c:v>482</c:v>
                </c:pt>
              </c:numCache>
            </c:numRef>
          </c:val>
          <c:extLst>
            <c:ext xmlns:c16="http://schemas.microsoft.com/office/drawing/2014/chart" uri="{C3380CC4-5D6E-409C-BE32-E72D297353CC}">
              <c16:uniqueId val="{00000004-EEB1-4E8E-860C-4ABD491D489B}"/>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Sheet2!$E$5:$E$15</c:f>
              <c:strCache>
                <c:ptCount val="10"/>
                <c:pt idx="0">
                  <c:v>Director</c:v>
                </c:pt>
                <c:pt idx="1">
                  <c:v>Sr. Manger</c:v>
                </c:pt>
                <c:pt idx="2">
                  <c:v>Vice President</c:v>
                </c:pt>
                <c:pt idx="3">
                  <c:v>Manager</c:v>
                </c:pt>
                <c:pt idx="4">
                  <c:v>Sr. Analyst</c:v>
                </c:pt>
                <c:pt idx="5">
                  <c:v>Analyst II</c:v>
                </c:pt>
                <c:pt idx="6">
                  <c:v>Analyst</c:v>
                </c:pt>
                <c:pt idx="7">
                  <c:v>Computer Systems Manager</c:v>
                </c:pt>
                <c:pt idx="8">
                  <c:v>Account Representative</c:v>
                </c:pt>
                <c:pt idx="9">
                  <c:v>Field Engineer</c:v>
                </c:pt>
              </c:strCache>
            </c:strRef>
          </c:cat>
          <c:val>
            <c:numRef>
              <c:f>Sheet2!$F$5:$F$15</c:f>
              <c:numCache>
                <c:formatCode>General</c:formatCode>
                <c:ptCount val="10"/>
                <c:pt idx="0">
                  <c:v>121</c:v>
                </c:pt>
                <c:pt idx="1">
                  <c:v>110</c:v>
                </c:pt>
                <c:pt idx="2">
                  <c:v>105</c:v>
                </c:pt>
                <c:pt idx="3">
                  <c:v>98</c:v>
                </c:pt>
                <c:pt idx="4">
                  <c:v>70</c:v>
                </c:pt>
                <c:pt idx="5">
                  <c:v>53</c:v>
                </c:pt>
                <c:pt idx="6">
                  <c:v>51</c:v>
                </c:pt>
                <c:pt idx="7">
                  <c:v>21</c:v>
                </c:pt>
                <c:pt idx="8">
                  <c:v>21</c:v>
                </c:pt>
                <c:pt idx="9">
                  <c:v>21</c:v>
                </c:pt>
              </c:numCache>
            </c:numRef>
          </c:val>
          <c:extLst>
            <c:ext xmlns:c16="http://schemas.microsoft.com/office/drawing/2014/chart" uri="{C3380CC4-5D6E-409C-BE32-E72D297353CC}">
              <c16:uniqueId val="{00000000-693B-4669-AE34-8513F03AEA44}"/>
            </c:ext>
          </c:extLst>
        </c:ser>
        <c:dLbls>
          <c:dLblPos val="outEnd"/>
          <c:showLegendKey val="0"/>
          <c:showVal val="1"/>
          <c:showCatName val="0"/>
          <c:showSerName val="0"/>
          <c:showPercent val="0"/>
          <c:showBubbleSize val="0"/>
        </c:dLbls>
        <c:gapWidth val="219"/>
        <c:overlap val="-27"/>
        <c:axId val="1684461375"/>
        <c:axId val="1684462335"/>
      </c:barChart>
      <c:catAx>
        <c:axId val="168446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4462335"/>
        <c:crosses val="autoZero"/>
        <c:auto val="1"/>
        <c:lblAlgn val="ctr"/>
        <c:lblOffset val="100"/>
        <c:noMultiLvlLbl val="0"/>
      </c:catAx>
      <c:valAx>
        <c:axId val="1684462335"/>
        <c:scaling>
          <c:orientation val="minMax"/>
        </c:scaling>
        <c:delete val="1"/>
        <c:axPos val="l"/>
        <c:numFmt formatCode="General" sourceLinked="1"/>
        <c:majorTickMark val="none"/>
        <c:minorTickMark val="none"/>
        <c:tickLblPos val="nextTo"/>
        <c:crossAx val="168446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930234953561025"/>
              <c:y val="-3.74999852362262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953489969040703"/>
              <c:y val="5.99999763779620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389536530573219"/>
              <c:y val="5.24999793307167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389536530573219"/>
              <c:y val="-7.49999704724525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1.7441862461300868E-2"/>
              <c:y val="-0.187499926181131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B9-4CE8-B273-752723482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B9-4CE8-B273-752723482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B9-4CE8-B273-7527234827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B9-4CE8-B273-7527234827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B9-4CE8-B273-7527234827F6}"/>
              </c:ext>
            </c:extLst>
          </c:dPt>
          <c:dLbls>
            <c:dLbl>
              <c:idx val="0"/>
              <c:layout>
                <c:manualLayout>
                  <c:x val="0.20930234953561025"/>
                  <c:y val="-3.74999852362262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B9-4CE8-B273-7527234827F6}"/>
                </c:ext>
              </c:extLst>
            </c:dLbl>
            <c:dLbl>
              <c:idx val="1"/>
              <c:layout>
                <c:manualLayout>
                  <c:x val="0.13953489969040703"/>
                  <c:y val="5.99999763779620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B9-4CE8-B273-7527234827F6}"/>
                </c:ext>
              </c:extLst>
            </c:dLbl>
            <c:dLbl>
              <c:idx val="2"/>
              <c:layout>
                <c:manualLayout>
                  <c:x val="-0.14389536530573219"/>
                  <c:y val="5.24999793307167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B9-4CE8-B273-7527234827F6}"/>
                </c:ext>
              </c:extLst>
            </c:dLbl>
            <c:dLbl>
              <c:idx val="3"/>
              <c:layout>
                <c:manualLayout>
                  <c:x val="-0.14389536530573219"/>
                  <c:y val="-7.49999704724525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BB9-4CE8-B273-7527234827F6}"/>
                </c:ext>
              </c:extLst>
            </c:dLbl>
            <c:dLbl>
              <c:idx val="4"/>
              <c:layout>
                <c:manualLayout>
                  <c:x val="1.7441862461300868E-2"/>
                  <c:y val="-0.1874999261811314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BB9-4CE8-B273-7527234827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Sheet2!$K$4:$K$9</c:f>
              <c:strCache>
                <c:ptCount val="5"/>
                <c:pt idx="0">
                  <c:v>25-35</c:v>
                </c:pt>
                <c:pt idx="1">
                  <c:v>35-45</c:v>
                </c:pt>
                <c:pt idx="2">
                  <c:v>45-55</c:v>
                </c:pt>
                <c:pt idx="3">
                  <c:v>55-65</c:v>
                </c:pt>
                <c:pt idx="4">
                  <c:v>65-100</c:v>
                </c:pt>
              </c:strCache>
            </c:strRef>
          </c:cat>
          <c:val>
            <c:numRef>
              <c:f>Sheet2!$L$4:$L$9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A-BBB9-4CE8-B273-7527234827F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Sheet2!$N$4:$N$11</c:f>
              <c:strCache>
                <c:ptCount val="7"/>
                <c:pt idx="0">
                  <c:v>Accounting</c:v>
                </c:pt>
                <c:pt idx="1">
                  <c:v>Engineering</c:v>
                </c:pt>
                <c:pt idx="2">
                  <c:v>Finance</c:v>
                </c:pt>
                <c:pt idx="3">
                  <c:v>Human Resources</c:v>
                </c:pt>
                <c:pt idx="4">
                  <c:v>IT</c:v>
                </c:pt>
                <c:pt idx="5">
                  <c:v>Marketing</c:v>
                </c:pt>
                <c:pt idx="6">
                  <c:v>Sales</c:v>
                </c:pt>
              </c:strCache>
            </c:strRef>
          </c:cat>
          <c:val>
            <c:numRef>
              <c:f>Sheet2!$O$4:$O$11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106F-406A-BE63-5A46F74DB390}"/>
            </c:ext>
          </c:extLst>
        </c:ser>
        <c:dLbls>
          <c:dLblPos val="outEnd"/>
          <c:showLegendKey val="0"/>
          <c:showVal val="1"/>
          <c:showCatName val="0"/>
          <c:showSerName val="0"/>
          <c:showPercent val="0"/>
          <c:showBubbleSize val="0"/>
        </c:dLbls>
        <c:gapWidth val="219"/>
        <c:overlap val="-27"/>
        <c:axId val="135104431"/>
        <c:axId val="135102511"/>
      </c:barChart>
      <c:catAx>
        <c:axId val="13510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2511"/>
        <c:crosses val="autoZero"/>
        <c:auto val="1"/>
        <c:lblAlgn val="ctr"/>
        <c:lblOffset val="100"/>
        <c:noMultiLvlLbl val="0"/>
      </c:catAx>
      <c:valAx>
        <c:axId val="135102511"/>
        <c:scaling>
          <c:orientation val="minMax"/>
        </c:scaling>
        <c:delete val="1"/>
        <c:axPos val="l"/>
        <c:numFmt formatCode="General" sourceLinked="1"/>
        <c:majorTickMark val="none"/>
        <c:minorTickMark val="none"/>
        <c:tickLblPos val="nextTo"/>
        <c:crossAx val="13510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Workforce Dashboard.xlsx]Sheet2!PivotTable15</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7.3913043478260873E-2"/>
              <c:y val="-7.53768695095814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4782608695652015E-2"/>
              <c:y val="6.78391825586233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2173913043478258E-2"/>
              <c:y val="-6.78391825586233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CB-4BAA-9F4D-BCAA1ADC46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CB-4BAA-9F4D-BCAA1ADC46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CB-4BAA-9F4D-BCAA1ADC4630}"/>
              </c:ext>
            </c:extLst>
          </c:dPt>
          <c:dLbls>
            <c:dLbl>
              <c:idx val="0"/>
              <c:layout>
                <c:manualLayout>
                  <c:x val="7.3913043478260873E-2"/>
                  <c:y val="-7.537686950958146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CB-4BAA-9F4D-BCAA1ADC4630}"/>
                </c:ext>
              </c:extLst>
            </c:dLbl>
            <c:dLbl>
              <c:idx val="1"/>
              <c:layout>
                <c:manualLayout>
                  <c:x val="3.4782608695652015E-2"/>
                  <c:y val="6.7839182558623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CB-4BAA-9F4D-BCAA1ADC4630}"/>
                </c:ext>
              </c:extLst>
            </c:dLbl>
            <c:dLbl>
              <c:idx val="2"/>
              <c:layout>
                <c:manualLayout>
                  <c:x val="-5.2173913043478258E-2"/>
                  <c:y val="-6.78391825586233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CB-4BAA-9F4D-BCAA1ADC463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Sheet2!$A$25:$A$28</c:f>
              <c:strCache>
                <c:ptCount val="3"/>
                <c:pt idx="0">
                  <c:v>Brazil</c:v>
                </c:pt>
                <c:pt idx="1">
                  <c:v>China</c:v>
                </c:pt>
                <c:pt idx="2">
                  <c:v>United States</c:v>
                </c:pt>
              </c:strCache>
            </c:strRef>
          </c:cat>
          <c:val>
            <c:numRef>
              <c:f>Sheet2!$B$25:$B$28</c:f>
              <c:numCache>
                <c:formatCode>General</c:formatCode>
                <c:ptCount val="3"/>
                <c:pt idx="0">
                  <c:v>139</c:v>
                </c:pt>
                <c:pt idx="1">
                  <c:v>218</c:v>
                </c:pt>
                <c:pt idx="2">
                  <c:v>643</c:v>
                </c:pt>
              </c:numCache>
            </c:numRef>
          </c:val>
          <c:extLst>
            <c:ext xmlns:c16="http://schemas.microsoft.com/office/drawing/2014/chart" uri="{C3380CC4-5D6E-409C-BE32-E72D297353CC}">
              <c16:uniqueId val="{00000006-D7CB-4BAA-9F4D-BCAA1ADC4630}"/>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67734</xdr:colOff>
      <xdr:row>0</xdr:row>
      <xdr:rowOff>76197</xdr:rowOff>
    </xdr:from>
    <xdr:to>
      <xdr:col>19</xdr:col>
      <xdr:colOff>584200</xdr:colOff>
      <xdr:row>30</xdr:row>
      <xdr:rowOff>8467</xdr:rowOff>
    </xdr:to>
    <xdr:sp macro="" textlink="">
      <xdr:nvSpPr>
        <xdr:cNvPr id="5" name="Rectangle 4">
          <a:extLst>
            <a:ext uri="{FF2B5EF4-FFF2-40B4-BE49-F238E27FC236}">
              <a16:creationId xmlns:a16="http://schemas.microsoft.com/office/drawing/2014/main" id="{B92CAF64-5F00-3077-9ABE-320CA065500D}"/>
            </a:ext>
          </a:extLst>
        </xdr:cNvPr>
        <xdr:cNvSpPr/>
      </xdr:nvSpPr>
      <xdr:spPr>
        <a:xfrm>
          <a:off x="67734" y="76197"/>
          <a:ext cx="12098866" cy="5520270"/>
        </a:xfrm>
        <a:prstGeom prst="rect">
          <a:avLst/>
        </a:prstGeom>
        <a:solidFill>
          <a:schemeClr val="accent1">
            <a:lumMod val="40000"/>
            <a:lumOff val="60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135468</xdr:colOff>
      <xdr:row>0</xdr:row>
      <xdr:rowOff>126997</xdr:rowOff>
    </xdr:from>
    <xdr:to>
      <xdr:col>19</xdr:col>
      <xdr:colOff>482599</xdr:colOff>
      <xdr:row>5</xdr:row>
      <xdr:rowOff>33866</xdr:rowOff>
    </xdr:to>
    <xdr:sp macro="" textlink="">
      <xdr:nvSpPr>
        <xdr:cNvPr id="6" name="Rectangle: Rounded Corners 5">
          <a:extLst>
            <a:ext uri="{FF2B5EF4-FFF2-40B4-BE49-F238E27FC236}">
              <a16:creationId xmlns:a16="http://schemas.microsoft.com/office/drawing/2014/main" id="{8D3B4246-4F0B-F8A2-0A38-27DDF6BC87CB}"/>
            </a:ext>
          </a:extLst>
        </xdr:cNvPr>
        <xdr:cNvSpPr/>
      </xdr:nvSpPr>
      <xdr:spPr>
        <a:xfrm>
          <a:off x="135468" y="126997"/>
          <a:ext cx="11929531" cy="838202"/>
        </a:xfrm>
        <a:prstGeom prst="roundRect">
          <a:avLst>
            <a:gd name="adj" fmla="val 12613"/>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186265</xdr:colOff>
      <xdr:row>4</xdr:row>
      <xdr:rowOff>59266</xdr:rowOff>
    </xdr:from>
    <xdr:to>
      <xdr:col>3</xdr:col>
      <xdr:colOff>194733</xdr:colOff>
      <xdr:row>9</xdr:row>
      <xdr:rowOff>33866</xdr:rowOff>
    </xdr:to>
    <xdr:sp macro="" textlink="">
      <xdr:nvSpPr>
        <xdr:cNvPr id="7" name="Rectangle: Rounded Corners 6">
          <a:extLst>
            <a:ext uri="{FF2B5EF4-FFF2-40B4-BE49-F238E27FC236}">
              <a16:creationId xmlns:a16="http://schemas.microsoft.com/office/drawing/2014/main" id="{6ACDB6C4-2C55-EC1F-7A4B-A949BB9914A0}"/>
            </a:ext>
          </a:extLst>
        </xdr:cNvPr>
        <xdr:cNvSpPr/>
      </xdr:nvSpPr>
      <xdr:spPr>
        <a:xfrm>
          <a:off x="186265" y="804333"/>
          <a:ext cx="1837268" cy="905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152401</xdr:colOff>
      <xdr:row>0</xdr:row>
      <xdr:rowOff>186266</xdr:rowOff>
    </xdr:from>
    <xdr:to>
      <xdr:col>1</xdr:col>
      <xdr:colOff>228601</xdr:colOff>
      <xdr:row>4</xdr:row>
      <xdr:rowOff>59265</xdr:rowOff>
    </xdr:to>
    <xdr:pic>
      <xdr:nvPicPr>
        <xdr:cNvPr id="9" name="Graphic 8" descr="Group brainstorm with solid fill">
          <a:extLst>
            <a:ext uri="{FF2B5EF4-FFF2-40B4-BE49-F238E27FC236}">
              <a16:creationId xmlns:a16="http://schemas.microsoft.com/office/drawing/2014/main" id="{D18C6A17-A8A7-25A0-29EB-C0D6F1F7CC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1" y="186266"/>
          <a:ext cx="685800" cy="618066"/>
        </a:xfrm>
        <a:prstGeom prst="rect">
          <a:avLst/>
        </a:prstGeom>
      </xdr:spPr>
    </xdr:pic>
    <xdr:clientData/>
  </xdr:twoCellAnchor>
  <xdr:twoCellAnchor editAs="oneCell">
    <xdr:from>
      <xdr:col>18</xdr:col>
      <xdr:colOff>313268</xdr:colOff>
      <xdr:row>0</xdr:row>
      <xdr:rowOff>177795</xdr:rowOff>
    </xdr:from>
    <xdr:to>
      <xdr:col>19</xdr:col>
      <xdr:colOff>389468</xdr:colOff>
      <xdr:row>4</xdr:row>
      <xdr:rowOff>50794</xdr:rowOff>
    </xdr:to>
    <xdr:pic>
      <xdr:nvPicPr>
        <xdr:cNvPr id="10" name="Graphic 9" descr="Group brainstorm with solid fill">
          <a:extLst>
            <a:ext uri="{FF2B5EF4-FFF2-40B4-BE49-F238E27FC236}">
              <a16:creationId xmlns:a16="http://schemas.microsoft.com/office/drawing/2014/main" id="{1869F44A-14A1-42C9-B10B-D44D998CAD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86068" y="177795"/>
          <a:ext cx="685800" cy="618066"/>
        </a:xfrm>
        <a:prstGeom prst="rect">
          <a:avLst/>
        </a:prstGeom>
      </xdr:spPr>
    </xdr:pic>
    <xdr:clientData/>
  </xdr:twoCellAnchor>
  <xdr:twoCellAnchor>
    <xdr:from>
      <xdr:col>1</xdr:col>
      <xdr:colOff>203200</xdr:colOff>
      <xdr:row>1</xdr:row>
      <xdr:rowOff>16933</xdr:rowOff>
    </xdr:from>
    <xdr:to>
      <xdr:col>17</xdr:col>
      <xdr:colOff>279400</xdr:colOff>
      <xdr:row>3</xdr:row>
      <xdr:rowOff>143933</xdr:rowOff>
    </xdr:to>
    <xdr:sp macro="" textlink="">
      <xdr:nvSpPr>
        <xdr:cNvPr id="11" name="TextBox 10">
          <a:extLst>
            <a:ext uri="{FF2B5EF4-FFF2-40B4-BE49-F238E27FC236}">
              <a16:creationId xmlns:a16="http://schemas.microsoft.com/office/drawing/2014/main" id="{4DBAFEED-2B1B-5284-36B4-892477BEE3C3}"/>
            </a:ext>
          </a:extLst>
        </xdr:cNvPr>
        <xdr:cNvSpPr txBox="1"/>
      </xdr:nvSpPr>
      <xdr:spPr>
        <a:xfrm>
          <a:off x="812800" y="203200"/>
          <a:ext cx="9829800" cy="499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400" b="1">
              <a:solidFill>
                <a:schemeClr val="lt1"/>
              </a:solidFill>
              <a:latin typeface="Arial Black" panose="020B0A04020102020204" pitchFamily="34" charset="0"/>
              <a:ea typeface="+mn-ea"/>
              <a:cs typeface="+mn-cs"/>
            </a:rPr>
            <a:t>EMPLOYEES WORKFORCE DASHBOARD</a:t>
          </a:r>
        </a:p>
      </xdr:txBody>
    </xdr:sp>
    <xdr:clientData/>
  </xdr:twoCellAnchor>
  <xdr:twoCellAnchor>
    <xdr:from>
      <xdr:col>0</xdr:col>
      <xdr:colOff>279400</xdr:colOff>
      <xdr:row>4</xdr:row>
      <xdr:rowOff>152396</xdr:rowOff>
    </xdr:from>
    <xdr:to>
      <xdr:col>3</xdr:col>
      <xdr:colOff>143933</xdr:colOff>
      <xdr:row>6</xdr:row>
      <xdr:rowOff>110066</xdr:rowOff>
    </xdr:to>
    <xdr:sp macro="" textlink="">
      <xdr:nvSpPr>
        <xdr:cNvPr id="12" name="TextBox 11">
          <a:extLst>
            <a:ext uri="{FF2B5EF4-FFF2-40B4-BE49-F238E27FC236}">
              <a16:creationId xmlns:a16="http://schemas.microsoft.com/office/drawing/2014/main" id="{A1D892BD-5357-4D6E-F1E9-5C43F2D47D9F}"/>
            </a:ext>
          </a:extLst>
        </xdr:cNvPr>
        <xdr:cNvSpPr txBox="1"/>
      </xdr:nvSpPr>
      <xdr:spPr>
        <a:xfrm>
          <a:off x="279400" y="897463"/>
          <a:ext cx="1693333" cy="33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latin typeface="Arial Black" panose="020B0A04020102020204" pitchFamily="34" charset="0"/>
            </a:rPr>
            <a:t>TOTAL</a:t>
          </a:r>
          <a:r>
            <a:rPr lang="en-US" sz="1000" baseline="0">
              <a:latin typeface="Arial Black" panose="020B0A04020102020204" pitchFamily="34" charset="0"/>
            </a:rPr>
            <a:t> EMPLOYEES</a:t>
          </a:r>
          <a:endParaRPr lang="en-US" sz="1000">
            <a:latin typeface="Arial Black" panose="020B0A04020102020204" pitchFamily="34" charset="0"/>
          </a:endParaRPr>
        </a:p>
      </xdr:txBody>
    </xdr:sp>
    <xdr:clientData/>
  </xdr:twoCellAnchor>
  <xdr:twoCellAnchor>
    <xdr:from>
      <xdr:col>1</xdr:col>
      <xdr:colOff>67733</xdr:colOff>
      <xdr:row>6</xdr:row>
      <xdr:rowOff>118532</xdr:rowOff>
    </xdr:from>
    <xdr:to>
      <xdr:col>2</xdr:col>
      <xdr:colOff>279400</xdr:colOff>
      <xdr:row>8</xdr:row>
      <xdr:rowOff>84666</xdr:rowOff>
    </xdr:to>
    <xdr:sp macro="" textlink="Sheet2!$B$4">
      <xdr:nvSpPr>
        <xdr:cNvPr id="13" name="TextBox 12">
          <a:extLst>
            <a:ext uri="{FF2B5EF4-FFF2-40B4-BE49-F238E27FC236}">
              <a16:creationId xmlns:a16="http://schemas.microsoft.com/office/drawing/2014/main" id="{B5DEE5E6-3D39-E0FA-E0B9-C87ABF917F46}"/>
            </a:ext>
          </a:extLst>
        </xdr:cNvPr>
        <xdr:cNvSpPr txBox="1"/>
      </xdr:nvSpPr>
      <xdr:spPr>
        <a:xfrm>
          <a:off x="677333" y="1236132"/>
          <a:ext cx="8212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B74385-062D-433B-B2F9-B8DCB1522856}" type="TxLink">
            <a:rPr lang="en-US" sz="1600" b="1" i="0" u="none" strike="noStrike">
              <a:solidFill>
                <a:schemeClr val="dk1"/>
              </a:solidFill>
              <a:effectLst/>
              <a:latin typeface="Arial Black" panose="020B0A04020102020204" pitchFamily="34" charset="0"/>
              <a:ea typeface="+mn-ea"/>
              <a:cs typeface="+mn-cs"/>
            </a:rPr>
            <a:pPr marL="0" indent="0" algn="ctr"/>
            <a:t>1000</a:t>
          </a:fld>
          <a:endParaRPr lang="en-US" sz="16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3</xdr:col>
      <xdr:colOff>262466</xdr:colOff>
      <xdr:row>4</xdr:row>
      <xdr:rowOff>59264</xdr:rowOff>
    </xdr:from>
    <xdr:to>
      <xdr:col>6</xdr:col>
      <xdr:colOff>270934</xdr:colOff>
      <xdr:row>9</xdr:row>
      <xdr:rowOff>33864</xdr:rowOff>
    </xdr:to>
    <xdr:sp macro="" textlink="">
      <xdr:nvSpPr>
        <xdr:cNvPr id="14" name="Rectangle: Rounded Corners 13">
          <a:extLst>
            <a:ext uri="{FF2B5EF4-FFF2-40B4-BE49-F238E27FC236}">
              <a16:creationId xmlns:a16="http://schemas.microsoft.com/office/drawing/2014/main" id="{65AED68B-0791-4703-9891-2FF8C3D5A22E}"/>
            </a:ext>
          </a:extLst>
        </xdr:cNvPr>
        <xdr:cNvSpPr/>
      </xdr:nvSpPr>
      <xdr:spPr>
        <a:xfrm>
          <a:off x="2091266" y="804331"/>
          <a:ext cx="1837268" cy="905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313268</xdr:colOff>
      <xdr:row>4</xdr:row>
      <xdr:rowOff>127000</xdr:rowOff>
    </xdr:from>
    <xdr:to>
      <xdr:col>6</xdr:col>
      <xdr:colOff>177801</xdr:colOff>
      <xdr:row>6</xdr:row>
      <xdr:rowOff>84670</xdr:rowOff>
    </xdr:to>
    <xdr:sp macro="" textlink="">
      <xdr:nvSpPr>
        <xdr:cNvPr id="15" name="TextBox 14">
          <a:extLst>
            <a:ext uri="{FF2B5EF4-FFF2-40B4-BE49-F238E27FC236}">
              <a16:creationId xmlns:a16="http://schemas.microsoft.com/office/drawing/2014/main" id="{1DCEC2A0-9427-4632-B720-1AC58BC7B868}"/>
            </a:ext>
          </a:extLst>
        </xdr:cNvPr>
        <xdr:cNvSpPr txBox="1"/>
      </xdr:nvSpPr>
      <xdr:spPr>
        <a:xfrm>
          <a:off x="2142068" y="872067"/>
          <a:ext cx="1693333" cy="33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latin typeface="Arial Black" panose="020B0A04020102020204" pitchFamily="34" charset="0"/>
            </a:rPr>
            <a:t>ACTIVE</a:t>
          </a:r>
          <a:r>
            <a:rPr lang="en-US" sz="1000" baseline="0">
              <a:latin typeface="Arial Black" panose="020B0A04020102020204" pitchFamily="34" charset="0"/>
            </a:rPr>
            <a:t> EMPLOYEES</a:t>
          </a:r>
          <a:endParaRPr lang="en-US" sz="1000">
            <a:latin typeface="Arial Black" panose="020B0A04020102020204" pitchFamily="34" charset="0"/>
          </a:endParaRPr>
        </a:p>
      </xdr:txBody>
    </xdr:sp>
    <xdr:clientData/>
  </xdr:twoCellAnchor>
  <xdr:twoCellAnchor>
    <xdr:from>
      <xdr:col>4</xdr:col>
      <xdr:colOff>169337</xdr:colOff>
      <xdr:row>6</xdr:row>
      <xdr:rowOff>110070</xdr:rowOff>
    </xdr:from>
    <xdr:to>
      <xdr:col>5</xdr:col>
      <xdr:colOff>381004</xdr:colOff>
      <xdr:row>8</xdr:row>
      <xdr:rowOff>76204</xdr:rowOff>
    </xdr:to>
    <xdr:sp macro="" textlink="Sheet2!$C$8">
      <xdr:nvSpPr>
        <xdr:cNvPr id="16" name="TextBox 15">
          <a:extLst>
            <a:ext uri="{FF2B5EF4-FFF2-40B4-BE49-F238E27FC236}">
              <a16:creationId xmlns:a16="http://schemas.microsoft.com/office/drawing/2014/main" id="{427BCD5A-D066-4CA1-A2CB-F0985A21CC94}"/>
            </a:ext>
          </a:extLst>
        </xdr:cNvPr>
        <xdr:cNvSpPr txBox="1"/>
      </xdr:nvSpPr>
      <xdr:spPr>
        <a:xfrm>
          <a:off x="2607737" y="1227670"/>
          <a:ext cx="8212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7328AF-C0FB-43C1-BB4F-1E0DF5419BE2}" type="TxLink">
            <a:rPr lang="en-US" sz="1600" b="1" i="0" u="none" strike="noStrike">
              <a:solidFill>
                <a:schemeClr val="dk1"/>
              </a:solidFill>
              <a:effectLst/>
              <a:latin typeface="Arial Black" panose="020B0A04020102020204" pitchFamily="34" charset="0"/>
              <a:ea typeface="+mn-ea"/>
              <a:cs typeface="+mn-cs"/>
            </a:rPr>
            <a:pPr marL="0" indent="0" algn="ctr"/>
            <a:t>915</a:t>
          </a:fld>
          <a:endParaRPr lang="en-US" sz="16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6</xdr:col>
      <xdr:colOff>364066</xdr:colOff>
      <xdr:row>4</xdr:row>
      <xdr:rowOff>67730</xdr:rowOff>
    </xdr:from>
    <xdr:to>
      <xdr:col>9</xdr:col>
      <xdr:colOff>372534</xdr:colOff>
      <xdr:row>9</xdr:row>
      <xdr:rowOff>42330</xdr:rowOff>
    </xdr:to>
    <xdr:sp macro="" textlink="">
      <xdr:nvSpPr>
        <xdr:cNvPr id="17" name="Rectangle: Rounded Corners 16">
          <a:extLst>
            <a:ext uri="{FF2B5EF4-FFF2-40B4-BE49-F238E27FC236}">
              <a16:creationId xmlns:a16="http://schemas.microsoft.com/office/drawing/2014/main" id="{18C1BFF2-83D5-47DF-99C6-B5CD5721E4FF}"/>
            </a:ext>
          </a:extLst>
        </xdr:cNvPr>
        <xdr:cNvSpPr/>
      </xdr:nvSpPr>
      <xdr:spPr>
        <a:xfrm>
          <a:off x="4021666" y="812797"/>
          <a:ext cx="1837268" cy="905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397934</xdr:colOff>
      <xdr:row>4</xdr:row>
      <xdr:rowOff>135466</xdr:rowOff>
    </xdr:from>
    <xdr:to>
      <xdr:col>9</xdr:col>
      <xdr:colOff>347131</xdr:colOff>
      <xdr:row>6</xdr:row>
      <xdr:rowOff>143933</xdr:rowOff>
    </xdr:to>
    <xdr:sp macro="" textlink="">
      <xdr:nvSpPr>
        <xdr:cNvPr id="18" name="TextBox 17">
          <a:extLst>
            <a:ext uri="{FF2B5EF4-FFF2-40B4-BE49-F238E27FC236}">
              <a16:creationId xmlns:a16="http://schemas.microsoft.com/office/drawing/2014/main" id="{2DC1D9F2-247D-49FE-8F5C-85D7B89042CE}"/>
            </a:ext>
          </a:extLst>
        </xdr:cNvPr>
        <xdr:cNvSpPr txBox="1"/>
      </xdr:nvSpPr>
      <xdr:spPr>
        <a:xfrm>
          <a:off x="4055534" y="880533"/>
          <a:ext cx="177799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aseline="0">
              <a:latin typeface="Arial Black" panose="020B0A04020102020204" pitchFamily="34" charset="0"/>
            </a:rPr>
            <a:t>INACTIVE EMPLOYEES</a:t>
          </a:r>
          <a:endParaRPr lang="en-US" sz="1000">
            <a:latin typeface="Arial Black" panose="020B0A04020102020204" pitchFamily="34" charset="0"/>
          </a:endParaRPr>
        </a:p>
      </xdr:txBody>
    </xdr:sp>
    <xdr:clientData/>
  </xdr:twoCellAnchor>
  <xdr:twoCellAnchor>
    <xdr:from>
      <xdr:col>7</xdr:col>
      <xdr:colOff>270937</xdr:colOff>
      <xdr:row>6</xdr:row>
      <xdr:rowOff>118536</xdr:rowOff>
    </xdr:from>
    <xdr:to>
      <xdr:col>8</xdr:col>
      <xdr:colOff>482604</xdr:colOff>
      <xdr:row>8</xdr:row>
      <xdr:rowOff>84670</xdr:rowOff>
    </xdr:to>
    <xdr:sp macro="" textlink="Sheet2!$C$9">
      <xdr:nvSpPr>
        <xdr:cNvPr id="19" name="TextBox 18">
          <a:extLst>
            <a:ext uri="{FF2B5EF4-FFF2-40B4-BE49-F238E27FC236}">
              <a16:creationId xmlns:a16="http://schemas.microsoft.com/office/drawing/2014/main" id="{AA497091-2FE6-481E-8BB4-203C4E3F7507}"/>
            </a:ext>
          </a:extLst>
        </xdr:cNvPr>
        <xdr:cNvSpPr txBox="1"/>
      </xdr:nvSpPr>
      <xdr:spPr>
        <a:xfrm>
          <a:off x="4538137" y="1236136"/>
          <a:ext cx="8212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E913B9-853A-4DC7-96C9-63FB762F7223}" type="TxLink">
            <a:rPr lang="en-US" sz="1600" b="1" i="0" u="none" strike="noStrike">
              <a:solidFill>
                <a:schemeClr val="dk1"/>
              </a:solidFill>
              <a:effectLst/>
              <a:latin typeface="Arial Black" panose="020B0A04020102020204" pitchFamily="34" charset="0"/>
              <a:ea typeface="+mn-ea"/>
              <a:cs typeface="+mn-cs"/>
            </a:rPr>
            <a:pPr marL="0" indent="0" algn="ctr"/>
            <a:t>85</a:t>
          </a:fld>
          <a:endParaRPr lang="en-US" sz="16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9</xdr:col>
      <xdr:colOff>448732</xdr:colOff>
      <xdr:row>4</xdr:row>
      <xdr:rowOff>67728</xdr:rowOff>
    </xdr:from>
    <xdr:to>
      <xdr:col>12</xdr:col>
      <xdr:colOff>457200</xdr:colOff>
      <xdr:row>9</xdr:row>
      <xdr:rowOff>42328</xdr:rowOff>
    </xdr:to>
    <xdr:sp macro="" textlink="">
      <xdr:nvSpPr>
        <xdr:cNvPr id="20" name="Rectangle: Rounded Corners 19">
          <a:extLst>
            <a:ext uri="{FF2B5EF4-FFF2-40B4-BE49-F238E27FC236}">
              <a16:creationId xmlns:a16="http://schemas.microsoft.com/office/drawing/2014/main" id="{B73C0771-6BFC-40D9-9F95-F81A367118FF}"/>
            </a:ext>
          </a:extLst>
        </xdr:cNvPr>
        <xdr:cNvSpPr/>
      </xdr:nvSpPr>
      <xdr:spPr>
        <a:xfrm>
          <a:off x="5935132" y="812795"/>
          <a:ext cx="1837268" cy="905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482600</xdr:colOff>
      <xdr:row>4</xdr:row>
      <xdr:rowOff>135464</xdr:rowOff>
    </xdr:from>
    <xdr:to>
      <xdr:col>12</xdr:col>
      <xdr:colOff>431797</xdr:colOff>
      <xdr:row>6</xdr:row>
      <xdr:rowOff>93133</xdr:rowOff>
    </xdr:to>
    <xdr:sp macro="" textlink="">
      <xdr:nvSpPr>
        <xdr:cNvPr id="21" name="TextBox 20">
          <a:extLst>
            <a:ext uri="{FF2B5EF4-FFF2-40B4-BE49-F238E27FC236}">
              <a16:creationId xmlns:a16="http://schemas.microsoft.com/office/drawing/2014/main" id="{73ACB448-BC6A-4C69-BE52-213C53CEB0E5}"/>
            </a:ext>
          </a:extLst>
        </xdr:cNvPr>
        <xdr:cNvSpPr txBox="1"/>
      </xdr:nvSpPr>
      <xdr:spPr>
        <a:xfrm>
          <a:off x="5969000" y="880531"/>
          <a:ext cx="1777997" cy="330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aseline="0">
              <a:latin typeface="Arial Black" panose="020B0A04020102020204" pitchFamily="34" charset="0"/>
            </a:rPr>
            <a:t>TOTAL SALARY</a:t>
          </a:r>
          <a:endParaRPr lang="en-US" sz="1000">
            <a:latin typeface="Arial Black" panose="020B0A04020102020204" pitchFamily="34" charset="0"/>
          </a:endParaRPr>
        </a:p>
      </xdr:txBody>
    </xdr:sp>
    <xdr:clientData/>
  </xdr:twoCellAnchor>
  <xdr:twoCellAnchor>
    <xdr:from>
      <xdr:col>9</xdr:col>
      <xdr:colOff>482596</xdr:colOff>
      <xdr:row>6</xdr:row>
      <xdr:rowOff>118534</xdr:rowOff>
    </xdr:from>
    <xdr:to>
      <xdr:col>12</xdr:col>
      <xdr:colOff>380995</xdr:colOff>
      <xdr:row>8</xdr:row>
      <xdr:rowOff>84668</xdr:rowOff>
    </xdr:to>
    <xdr:sp macro="" textlink="Sheet2!B19">
      <xdr:nvSpPr>
        <xdr:cNvPr id="22" name="TextBox 21">
          <a:extLst>
            <a:ext uri="{FF2B5EF4-FFF2-40B4-BE49-F238E27FC236}">
              <a16:creationId xmlns:a16="http://schemas.microsoft.com/office/drawing/2014/main" id="{2AF86816-941B-4602-9EB3-FE10A77481F0}"/>
            </a:ext>
          </a:extLst>
        </xdr:cNvPr>
        <xdr:cNvSpPr txBox="1"/>
      </xdr:nvSpPr>
      <xdr:spPr>
        <a:xfrm>
          <a:off x="5968996" y="1236134"/>
          <a:ext cx="1727199"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3DD557-214E-490E-99FF-9496820B0A0F}" type="TxLink">
            <a:rPr lang="en-US" sz="1600" b="1" i="0" u="none" strike="noStrike">
              <a:solidFill>
                <a:schemeClr val="dk1"/>
              </a:solidFill>
              <a:effectLst/>
              <a:latin typeface="Arial Black" panose="020B0A04020102020204" pitchFamily="34" charset="0"/>
              <a:ea typeface="+mn-ea"/>
              <a:cs typeface="+mn-cs"/>
            </a:rPr>
            <a:pPr marL="0" indent="0" algn="ctr"/>
            <a:t>129091166</a:t>
          </a:fld>
          <a:endParaRPr lang="en-US" sz="16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12</xdr:col>
      <xdr:colOff>533398</xdr:colOff>
      <xdr:row>4</xdr:row>
      <xdr:rowOff>67730</xdr:rowOff>
    </xdr:from>
    <xdr:to>
      <xdr:col>15</xdr:col>
      <xdr:colOff>541866</xdr:colOff>
      <xdr:row>9</xdr:row>
      <xdr:rowOff>42330</xdr:rowOff>
    </xdr:to>
    <xdr:sp macro="" textlink="">
      <xdr:nvSpPr>
        <xdr:cNvPr id="26" name="Rectangle: Rounded Corners 25">
          <a:extLst>
            <a:ext uri="{FF2B5EF4-FFF2-40B4-BE49-F238E27FC236}">
              <a16:creationId xmlns:a16="http://schemas.microsoft.com/office/drawing/2014/main" id="{E194846D-6DDB-46C2-BD79-B2A0F4CBC655}"/>
            </a:ext>
          </a:extLst>
        </xdr:cNvPr>
        <xdr:cNvSpPr/>
      </xdr:nvSpPr>
      <xdr:spPr>
        <a:xfrm>
          <a:off x="7848598" y="812797"/>
          <a:ext cx="1837268" cy="9059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592667</xdr:colOff>
      <xdr:row>4</xdr:row>
      <xdr:rowOff>135466</xdr:rowOff>
    </xdr:from>
    <xdr:to>
      <xdr:col>15</xdr:col>
      <xdr:colOff>541864</xdr:colOff>
      <xdr:row>6</xdr:row>
      <xdr:rowOff>93135</xdr:rowOff>
    </xdr:to>
    <xdr:sp macro="" textlink="">
      <xdr:nvSpPr>
        <xdr:cNvPr id="27" name="TextBox 26">
          <a:extLst>
            <a:ext uri="{FF2B5EF4-FFF2-40B4-BE49-F238E27FC236}">
              <a16:creationId xmlns:a16="http://schemas.microsoft.com/office/drawing/2014/main" id="{CB6EDBDC-BCDB-4209-92C5-C83B5307540C}"/>
            </a:ext>
          </a:extLst>
        </xdr:cNvPr>
        <xdr:cNvSpPr txBox="1"/>
      </xdr:nvSpPr>
      <xdr:spPr>
        <a:xfrm>
          <a:off x="7907867" y="880533"/>
          <a:ext cx="1777997" cy="330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aseline="0">
              <a:latin typeface="Arial Black" panose="020B0A04020102020204" pitchFamily="34" charset="0"/>
            </a:rPr>
            <a:t>TOTAL DEPARTMENT</a:t>
          </a:r>
          <a:endParaRPr lang="en-US" sz="1000">
            <a:latin typeface="Arial Black" panose="020B0A04020102020204" pitchFamily="34" charset="0"/>
          </a:endParaRPr>
        </a:p>
      </xdr:txBody>
    </xdr:sp>
    <xdr:clientData/>
  </xdr:twoCellAnchor>
  <xdr:twoCellAnchor>
    <xdr:from>
      <xdr:col>12</xdr:col>
      <xdr:colOff>567262</xdr:colOff>
      <xdr:row>6</xdr:row>
      <xdr:rowOff>118536</xdr:rowOff>
    </xdr:from>
    <xdr:to>
      <xdr:col>15</xdr:col>
      <xdr:colOff>465661</xdr:colOff>
      <xdr:row>8</xdr:row>
      <xdr:rowOff>84670</xdr:rowOff>
    </xdr:to>
    <xdr:sp macro="" textlink="Sheet2!$P$4">
      <xdr:nvSpPr>
        <xdr:cNvPr id="28" name="TextBox 27">
          <a:extLst>
            <a:ext uri="{FF2B5EF4-FFF2-40B4-BE49-F238E27FC236}">
              <a16:creationId xmlns:a16="http://schemas.microsoft.com/office/drawing/2014/main" id="{55288EEC-CBF4-4E7F-B90F-F3CF9A84A5CD}"/>
            </a:ext>
          </a:extLst>
        </xdr:cNvPr>
        <xdr:cNvSpPr txBox="1"/>
      </xdr:nvSpPr>
      <xdr:spPr>
        <a:xfrm>
          <a:off x="7882462" y="1236136"/>
          <a:ext cx="1727199"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93696A-C083-4909-92E9-E751FD97D90A}" type="TxLink">
            <a:rPr lang="en-US" sz="1600" b="1" i="0" u="none" strike="noStrike">
              <a:solidFill>
                <a:schemeClr val="dk1"/>
              </a:solidFill>
              <a:effectLst/>
              <a:latin typeface="Arial Black" panose="020B0A04020102020204" pitchFamily="34" charset="0"/>
              <a:ea typeface="+mn-ea"/>
              <a:cs typeface="+mn-cs"/>
            </a:rPr>
            <a:pPr marL="0" indent="0" algn="ctr"/>
            <a:t>7</a:t>
          </a:fld>
          <a:endParaRPr lang="en-US" sz="16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0</xdr:col>
      <xdr:colOff>194734</xdr:colOff>
      <xdr:row>9</xdr:row>
      <xdr:rowOff>93129</xdr:rowOff>
    </xdr:from>
    <xdr:to>
      <xdr:col>4</xdr:col>
      <xdr:colOff>304800</xdr:colOff>
      <xdr:row>19</xdr:row>
      <xdr:rowOff>42333</xdr:rowOff>
    </xdr:to>
    <xdr:sp macro="" textlink="">
      <xdr:nvSpPr>
        <xdr:cNvPr id="29" name="Rectangle: Rounded Corners 28">
          <a:extLst>
            <a:ext uri="{FF2B5EF4-FFF2-40B4-BE49-F238E27FC236}">
              <a16:creationId xmlns:a16="http://schemas.microsoft.com/office/drawing/2014/main" id="{C5187AFF-0C6E-46DB-B4F3-8B09F22E10D5}"/>
            </a:ext>
          </a:extLst>
        </xdr:cNvPr>
        <xdr:cNvSpPr/>
      </xdr:nvSpPr>
      <xdr:spPr>
        <a:xfrm>
          <a:off x="194734" y="1769529"/>
          <a:ext cx="2548466"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186268</xdr:colOff>
      <xdr:row>19</xdr:row>
      <xdr:rowOff>118530</xdr:rowOff>
    </xdr:from>
    <xdr:to>
      <xdr:col>4</xdr:col>
      <xdr:colOff>296334</xdr:colOff>
      <xdr:row>29</xdr:row>
      <xdr:rowOff>67735</xdr:rowOff>
    </xdr:to>
    <xdr:sp macro="" textlink="">
      <xdr:nvSpPr>
        <xdr:cNvPr id="33" name="Rectangle: Rounded Corners 32">
          <a:extLst>
            <a:ext uri="{FF2B5EF4-FFF2-40B4-BE49-F238E27FC236}">
              <a16:creationId xmlns:a16="http://schemas.microsoft.com/office/drawing/2014/main" id="{D4A39A80-F472-49BC-B33C-3D07B20C03A2}"/>
            </a:ext>
          </a:extLst>
        </xdr:cNvPr>
        <xdr:cNvSpPr/>
      </xdr:nvSpPr>
      <xdr:spPr>
        <a:xfrm>
          <a:off x="186268" y="3657597"/>
          <a:ext cx="2548466"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330199</xdr:colOff>
      <xdr:row>9</xdr:row>
      <xdr:rowOff>143929</xdr:rowOff>
    </xdr:from>
    <xdr:to>
      <xdr:col>4</xdr:col>
      <xdr:colOff>160865</xdr:colOff>
      <xdr:row>18</xdr:row>
      <xdr:rowOff>160867</xdr:rowOff>
    </xdr:to>
    <xdr:graphicFrame macro="">
      <xdr:nvGraphicFramePr>
        <xdr:cNvPr id="35" name="Chart 34">
          <a:extLst>
            <a:ext uri="{FF2B5EF4-FFF2-40B4-BE49-F238E27FC236}">
              <a16:creationId xmlns:a16="http://schemas.microsoft.com/office/drawing/2014/main" id="{9ECD4730-EC2A-4349-9CE6-098C89049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347134</xdr:colOff>
      <xdr:row>19</xdr:row>
      <xdr:rowOff>177799</xdr:rowOff>
    </xdr:from>
    <xdr:to>
      <xdr:col>4</xdr:col>
      <xdr:colOff>143934</xdr:colOff>
      <xdr:row>29</xdr:row>
      <xdr:rowOff>16934</xdr:rowOff>
    </xdr:to>
    <xdr:graphicFrame macro="">
      <xdr:nvGraphicFramePr>
        <xdr:cNvPr id="36" name="Chart 35">
          <a:extLst>
            <a:ext uri="{FF2B5EF4-FFF2-40B4-BE49-F238E27FC236}">
              <a16:creationId xmlns:a16="http://schemas.microsoft.com/office/drawing/2014/main" id="{4BE670FA-3BF6-4DE4-AC01-09F87B3B1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364066</xdr:colOff>
      <xdr:row>9</xdr:row>
      <xdr:rowOff>101598</xdr:rowOff>
    </xdr:from>
    <xdr:to>
      <xdr:col>10</xdr:col>
      <xdr:colOff>507999</xdr:colOff>
      <xdr:row>19</xdr:row>
      <xdr:rowOff>50802</xdr:rowOff>
    </xdr:to>
    <xdr:sp macro="" textlink="">
      <xdr:nvSpPr>
        <xdr:cNvPr id="37" name="Rectangle: Rounded Corners 36">
          <a:extLst>
            <a:ext uri="{FF2B5EF4-FFF2-40B4-BE49-F238E27FC236}">
              <a16:creationId xmlns:a16="http://schemas.microsoft.com/office/drawing/2014/main" id="{65AF333C-476B-424E-98B2-3C5EE7D17702}"/>
            </a:ext>
          </a:extLst>
        </xdr:cNvPr>
        <xdr:cNvSpPr/>
      </xdr:nvSpPr>
      <xdr:spPr>
        <a:xfrm>
          <a:off x="2802466" y="1777998"/>
          <a:ext cx="3801533"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355601</xdr:colOff>
      <xdr:row>19</xdr:row>
      <xdr:rowOff>118531</xdr:rowOff>
    </xdr:from>
    <xdr:to>
      <xdr:col>10</xdr:col>
      <xdr:colOff>524932</xdr:colOff>
      <xdr:row>29</xdr:row>
      <xdr:rowOff>67736</xdr:rowOff>
    </xdr:to>
    <xdr:sp macro="" textlink="">
      <xdr:nvSpPr>
        <xdr:cNvPr id="2" name="Rectangle: Rounded Corners 1">
          <a:extLst>
            <a:ext uri="{FF2B5EF4-FFF2-40B4-BE49-F238E27FC236}">
              <a16:creationId xmlns:a16="http://schemas.microsoft.com/office/drawing/2014/main" id="{15A5150A-A561-46F6-A172-00AF3F535E85}"/>
            </a:ext>
          </a:extLst>
        </xdr:cNvPr>
        <xdr:cNvSpPr/>
      </xdr:nvSpPr>
      <xdr:spPr>
        <a:xfrm>
          <a:off x="2794001" y="3657598"/>
          <a:ext cx="3826931"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440267</xdr:colOff>
      <xdr:row>9</xdr:row>
      <xdr:rowOff>169330</xdr:rowOff>
    </xdr:from>
    <xdr:to>
      <xdr:col>10</xdr:col>
      <xdr:colOff>423332</xdr:colOff>
      <xdr:row>18</xdr:row>
      <xdr:rowOff>177799</xdr:rowOff>
    </xdr:to>
    <xdr:graphicFrame macro="">
      <xdr:nvGraphicFramePr>
        <xdr:cNvPr id="8" name="Chart 7">
          <a:extLst>
            <a:ext uri="{FF2B5EF4-FFF2-40B4-BE49-F238E27FC236}">
              <a16:creationId xmlns:a16="http://schemas.microsoft.com/office/drawing/2014/main" id="{93A34C2E-814F-4527-90C0-1C9E69C71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575734</xdr:colOff>
      <xdr:row>9</xdr:row>
      <xdr:rowOff>93131</xdr:rowOff>
    </xdr:from>
    <xdr:to>
      <xdr:col>15</xdr:col>
      <xdr:colOff>550333</xdr:colOff>
      <xdr:row>19</xdr:row>
      <xdr:rowOff>42335</xdr:rowOff>
    </xdr:to>
    <xdr:sp macro="" textlink="">
      <xdr:nvSpPr>
        <xdr:cNvPr id="24" name="Rectangle: Rounded Corners 23">
          <a:extLst>
            <a:ext uri="{FF2B5EF4-FFF2-40B4-BE49-F238E27FC236}">
              <a16:creationId xmlns:a16="http://schemas.microsoft.com/office/drawing/2014/main" id="{7CFE4627-CB98-41D6-9610-44B036332D10}"/>
            </a:ext>
          </a:extLst>
        </xdr:cNvPr>
        <xdr:cNvSpPr/>
      </xdr:nvSpPr>
      <xdr:spPr>
        <a:xfrm>
          <a:off x="6671734" y="1769531"/>
          <a:ext cx="3022599"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16935</xdr:colOff>
      <xdr:row>9</xdr:row>
      <xdr:rowOff>143933</xdr:rowOff>
    </xdr:from>
    <xdr:to>
      <xdr:col>15</xdr:col>
      <xdr:colOff>491068</xdr:colOff>
      <xdr:row>18</xdr:row>
      <xdr:rowOff>160867</xdr:rowOff>
    </xdr:to>
    <xdr:graphicFrame macro="">
      <xdr:nvGraphicFramePr>
        <xdr:cNvPr id="25" name="Chart 24">
          <a:extLst>
            <a:ext uri="{FF2B5EF4-FFF2-40B4-BE49-F238E27FC236}">
              <a16:creationId xmlns:a16="http://schemas.microsoft.com/office/drawing/2014/main" id="{76894D23-BA14-488D-91DD-0FA2B2019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414868</xdr:colOff>
      <xdr:row>19</xdr:row>
      <xdr:rowOff>160864</xdr:rowOff>
    </xdr:from>
    <xdr:to>
      <xdr:col>10</xdr:col>
      <xdr:colOff>457200</xdr:colOff>
      <xdr:row>29</xdr:row>
      <xdr:rowOff>25400</xdr:rowOff>
    </xdr:to>
    <xdr:graphicFrame macro="">
      <xdr:nvGraphicFramePr>
        <xdr:cNvPr id="32" name="Chart 31">
          <a:extLst>
            <a:ext uri="{FF2B5EF4-FFF2-40B4-BE49-F238E27FC236}">
              <a16:creationId xmlns:a16="http://schemas.microsoft.com/office/drawing/2014/main" id="{92D1BBE8-8E7C-491D-A82B-5E42093F2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592667</xdr:colOff>
      <xdr:row>19</xdr:row>
      <xdr:rowOff>126997</xdr:rowOff>
    </xdr:from>
    <xdr:to>
      <xdr:col>15</xdr:col>
      <xdr:colOff>567266</xdr:colOff>
      <xdr:row>29</xdr:row>
      <xdr:rowOff>76202</xdr:rowOff>
    </xdr:to>
    <xdr:sp macro="" textlink="">
      <xdr:nvSpPr>
        <xdr:cNvPr id="34" name="Rectangle: Rounded Corners 33">
          <a:extLst>
            <a:ext uri="{FF2B5EF4-FFF2-40B4-BE49-F238E27FC236}">
              <a16:creationId xmlns:a16="http://schemas.microsoft.com/office/drawing/2014/main" id="{66699B62-7CDF-4DC7-8912-61DAED0E41DB}"/>
            </a:ext>
          </a:extLst>
        </xdr:cNvPr>
        <xdr:cNvSpPr/>
      </xdr:nvSpPr>
      <xdr:spPr>
        <a:xfrm>
          <a:off x="6688667" y="3666064"/>
          <a:ext cx="3022599" cy="1811871"/>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25400</xdr:colOff>
      <xdr:row>20</xdr:row>
      <xdr:rowOff>16933</xdr:rowOff>
    </xdr:from>
    <xdr:to>
      <xdr:col>15</xdr:col>
      <xdr:colOff>508000</xdr:colOff>
      <xdr:row>29</xdr:row>
      <xdr:rowOff>25400</xdr:rowOff>
    </xdr:to>
    <xdr:graphicFrame macro="">
      <xdr:nvGraphicFramePr>
        <xdr:cNvPr id="39" name="Chart 38">
          <a:extLst>
            <a:ext uri="{FF2B5EF4-FFF2-40B4-BE49-F238E27FC236}">
              <a16:creationId xmlns:a16="http://schemas.microsoft.com/office/drawing/2014/main" id="{225A320B-DE59-43F3-8506-9C3A30F1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16932</xdr:colOff>
      <xdr:row>4</xdr:row>
      <xdr:rowOff>50797</xdr:rowOff>
    </xdr:from>
    <xdr:to>
      <xdr:col>19</xdr:col>
      <xdr:colOff>499533</xdr:colOff>
      <xdr:row>29</xdr:row>
      <xdr:rowOff>67734</xdr:rowOff>
    </xdr:to>
    <xdr:sp macro="" textlink="">
      <xdr:nvSpPr>
        <xdr:cNvPr id="40" name="Rectangle: Rounded Corners 39">
          <a:extLst>
            <a:ext uri="{FF2B5EF4-FFF2-40B4-BE49-F238E27FC236}">
              <a16:creationId xmlns:a16="http://schemas.microsoft.com/office/drawing/2014/main" id="{5A6CBA13-BCD2-4856-9F29-5DAE940B9644}"/>
            </a:ext>
          </a:extLst>
        </xdr:cNvPr>
        <xdr:cNvSpPr/>
      </xdr:nvSpPr>
      <xdr:spPr>
        <a:xfrm>
          <a:off x="9770532" y="795864"/>
          <a:ext cx="2311401" cy="4673603"/>
        </a:xfrm>
        <a:prstGeom prst="roundRect">
          <a:avLst>
            <a:gd name="adj" fmla="val 1011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135463</xdr:colOff>
      <xdr:row>16</xdr:row>
      <xdr:rowOff>59268</xdr:rowOff>
    </xdr:from>
    <xdr:to>
      <xdr:col>19</xdr:col>
      <xdr:colOff>406398</xdr:colOff>
      <xdr:row>28</xdr:row>
      <xdr:rowOff>127001</xdr:rowOff>
    </xdr:to>
    <mc:AlternateContent xmlns:mc="http://schemas.openxmlformats.org/markup-compatibility/2006" xmlns:a14="http://schemas.microsoft.com/office/drawing/2010/main">
      <mc:Choice Requires="a14">
        <xdr:graphicFrame macro="">
          <xdr:nvGraphicFramePr>
            <xdr:cNvPr id="41" name="Department">
              <a:extLst>
                <a:ext uri="{FF2B5EF4-FFF2-40B4-BE49-F238E27FC236}">
                  <a16:creationId xmlns:a16="http://schemas.microsoft.com/office/drawing/2014/main" id="{A676B103-C697-412C-A505-1E4F01C5252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89063" y="3039535"/>
              <a:ext cx="2099735" cy="2302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220133</xdr:colOff>
      <xdr:row>4</xdr:row>
      <xdr:rowOff>118529</xdr:rowOff>
    </xdr:from>
    <xdr:to>
      <xdr:col>19</xdr:col>
      <xdr:colOff>220133</xdr:colOff>
      <xdr:row>9</xdr:row>
      <xdr:rowOff>50796</xdr:rowOff>
    </xdr:to>
    <mc:AlternateContent xmlns:mc="http://schemas.openxmlformats.org/markup-compatibility/2006" xmlns:a14="http://schemas.microsoft.com/office/drawing/2010/main">
      <mc:Choice Requires="a14">
        <xdr:graphicFrame macro="">
          <xdr:nvGraphicFramePr>
            <xdr:cNvPr id="42" name="Gender">
              <a:extLst>
                <a:ext uri="{FF2B5EF4-FFF2-40B4-BE49-F238E27FC236}">
                  <a16:creationId xmlns:a16="http://schemas.microsoft.com/office/drawing/2014/main" id="{4ECE4743-BFE1-441D-88A4-F4F026EE97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73733" y="863596"/>
              <a:ext cx="18288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220133</xdr:colOff>
      <xdr:row>9</xdr:row>
      <xdr:rowOff>110069</xdr:rowOff>
    </xdr:from>
    <xdr:to>
      <xdr:col>19</xdr:col>
      <xdr:colOff>220133</xdr:colOff>
      <xdr:row>15</xdr:row>
      <xdr:rowOff>169335</xdr:rowOff>
    </xdr:to>
    <mc:AlternateContent xmlns:mc="http://schemas.openxmlformats.org/markup-compatibility/2006" xmlns:a14="http://schemas.microsoft.com/office/drawing/2010/main">
      <mc:Choice Requires="a14">
        <xdr:graphicFrame macro="">
          <xdr:nvGraphicFramePr>
            <xdr:cNvPr id="43" name="Country">
              <a:extLst>
                <a:ext uri="{FF2B5EF4-FFF2-40B4-BE49-F238E27FC236}">
                  <a16:creationId xmlns:a16="http://schemas.microsoft.com/office/drawing/2014/main" id="{58D05AE0-9E44-4767-98EC-7DD45664A29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73733" y="1786469"/>
              <a:ext cx="1828800" cy="1176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3148147" backgroundQuery="1" createdVersion="8" refreshedVersion="8" minRefreshableVersion="3" recordCount="0" supportSubquery="1" supportAdvancedDrill="1" xr:uid="{6828925F-0F4B-4F0A-9FE1-038179F9D1A5}">
  <cacheSource type="external" connectionId="2"/>
  <cacheFields count="5">
    <cacheField name="[Measures].[Count of EMP ID]" caption="Count of EMP ID" numFmtId="0" hierarchy="21" level="32767"/>
    <cacheField name="[EMP_RAW_Data].[Age Group].[Age Group]" caption="Age Group" numFmtId="0" hierarchy="6" level="1">
      <sharedItems count="5">
        <s v="25-35"/>
        <s v="35-45"/>
        <s v="45-55"/>
        <s v="55-65"/>
        <s v="65-100"/>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4"/>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2" memberValueDatatype="130" unbalanced="0">
      <fieldsUsage count="2">
        <fieldUsage x="-1"/>
        <fieldUsage x="1"/>
      </fieldsUsage>
    </cacheHierarchy>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5000002" backgroundQuery="1" createdVersion="8" refreshedVersion="8" minRefreshableVersion="3" recordCount="0" supportSubquery="1" supportAdvancedDrill="1" xr:uid="{AA505133-E0DF-4758-9BED-52F86FFBA614}">
  <cacheSource type="external" connectionId="2"/>
  <cacheFields count="4">
    <cacheField name="[Measures].[Count of EMP ID]" caption="Count of EMP ID" numFmtId="0" hierarchy="21" level="32767"/>
    <cacheField name="[EMP_RAW_Data].[Gender].[Gender]" caption="Gender" numFmtId="0" hierarchy="4" level="1">
      <sharedItems count="2">
        <s v="Female"/>
        <s v="Male"/>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1"/>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6620372" backgroundQuery="1" createdVersion="8" refreshedVersion="8" minRefreshableVersion="3" recordCount="0" supportSubquery="1" supportAdvancedDrill="1" xr:uid="{6C610763-7F49-4706-B2F5-DCD3FB1A613E}">
  <cacheSource type="external" connectionId="2"/>
  <cacheFields count="6">
    <cacheField name="[Measures].[Count of EMP ID]" caption="Count of EMP ID" numFmtId="0" hierarchy="21" level="32767"/>
    <cacheField name="[EMP_RAW_Data].[Age Group].[Age Group]" caption="Age Group" numFmtId="0" hierarchy="6" level="1">
      <sharedItems count="5">
        <s v="25-35"/>
        <s v="35-45"/>
        <s v="45-55"/>
        <s v="55-65"/>
        <s v="65-100"/>
      </sharedItems>
    </cacheField>
    <cacheField name="[EMP_RAW_Data].[Employee Status].[Employee Status]" caption="Employee Status" numFmtId="0" hierarchy="18" level="1">
      <sharedItems containsSemiMixedTypes="0" containsNonDate="0" containsString="0"/>
    </cacheField>
    <cacheField name="[EMP_RAW_Data].[Gender].[Gender]" caption="Gender" numFmtId="0" hierarchy="4" level="1">
      <sharedItems count="2">
        <s v="Female"/>
        <s v="Male"/>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5"/>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3"/>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2" memberValueDatatype="130" unbalanced="0">
      <fieldsUsage count="2">
        <fieldUsage x="-1"/>
        <fieldUsage x="1"/>
      </fieldsUsage>
    </cacheHierarchy>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4"/>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2" memberValueDatatype="130" unbalanced="0">
      <fieldsUsage count="2">
        <fieldUsage x="-1"/>
        <fieldUsage x="2"/>
      </fieldsUsage>
    </cacheHierarchy>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8124997" backgroundQuery="1" createdVersion="8" refreshedVersion="8" minRefreshableVersion="3" recordCount="0" supportSubquery="1" supportAdvancedDrill="1" xr:uid="{E9116210-3D3E-475C-A26A-331C84DEAD9B}">
  <cacheSource type="external" connectionId="2"/>
  <cacheFields count="4">
    <cacheField name="[Measures].[Count of EMP ID]" caption="Count of EMP ID" numFmtId="0" hierarchy="21" level="32767"/>
    <cacheField name="[EMP_RAW_Data].[Department].[Department]" caption="Department" numFmtId="0" hierarchy="2" level="1">
      <sharedItems count="7">
        <s v="Accounting"/>
        <s v="Engineering"/>
        <s v="Finance"/>
        <s v="Human Resources"/>
        <s v="IT"/>
        <s v="Marketing"/>
        <s v="Sales"/>
      </sharedItems>
    </cacheField>
    <cacheField name="[EMP_RAW_Data].[Country].[Country]" caption="Country" numFmtId="0" hierarchy="11"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1"/>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3"/>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9861113" backgroundQuery="1" createdVersion="8" refreshedVersion="8" minRefreshableVersion="3" recordCount="0" supportSubquery="1" supportAdvancedDrill="1" xr:uid="{1DBDDB84-03C8-4680-ACF1-36C0BFE8FFAD}">
  <cacheSource type="external" connectionId="2"/>
  <cacheFields count="5">
    <cacheField name="[Measures].[Count of EMP ID]" caption="Count of EMP ID" numFmtId="0" hierarchy="21" level="32767"/>
    <cacheField name="[EMP_RAW_Data].[Year].[Year]" caption="Year" numFmtId="0" hierarchy="17" level="1">
      <sharedItems containsSemiMixedTypes="0" containsString="0" containsNumber="1" containsInteger="1" minValue="0" maxValue="34" count="35">
        <n v="0"/>
        <n v="1"/>
        <n v="2"/>
        <n v="3"/>
        <n v="4"/>
        <n v="5"/>
        <n v="6"/>
        <n v="7"/>
        <n v="8"/>
        <n v="9"/>
        <n v="10"/>
        <n v="11"/>
        <n v="12"/>
        <n v="13"/>
        <n v="14"/>
        <n v="15"/>
        <n v="16"/>
        <n v="17"/>
        <n v="18"/>
        <n v="19"/>
        <n v="20"/>
        <n v="21"/>
        <n v="22"/>
        <n v="23"/>
        <n v="24"/>
        <n v="25"/>
        <n v="26"/>
        <n v="27"/>
        <n v="28"/>
        <n v="29"/>
        <n v="30"/>
        <n v="31"/>
        <n v="32"/>
        <n v="33"/>
        <n v="34"/>
      </sharedItems>
      <extLst>
        <ext xmlns:x15="http://schemas.microsoft.com/office/spreadsheetml/2010/11/main" uri="{4F2E5C28-24EA-4eb8-9CBF-B6C8F9C3D259}">
          <x15:cachedUniqueNames>
            <x15:cachedUniqueName index="0" name="[EMP_RAW_Data].[Year].&amp;[0]"/>
            <x15:cachedUniqueName index="1" name="[EMP_RAW_Data].[Year].&amp;[1]"/>
            <x15:cachedUniqueName index="2" name="[EMP_RAW_Data].[Year].&amp;[2]"/>
            <x15:cachedUniqueName index="3" name="[EMP_RAW_Data].[Year].&amp;[3]"/>
            <x15:cachedUniqueName index="4" name="[EMP_RAW_Data].[Year].&amp;[4]"/>
            <x15:cachedUniqueName index="5" name="[EMP_RAW_Data].[Year].&amp;[5]"/>
            <x15:cachedUniqueName index="6" name="[EMP_RAW_Data].[Year].&amp;[6]"/>
            <x15:cachedUniqueName index="7" name="[EMP_RAW_Data].[Year].&amp;[7]"/>
            <x15:cachedUniqueName index="8" name="[EMP_RAW_Data].[Year].&amp;[8]"/>
            <x15:cachedUniqueName index="9" name="[EMP_RAW_Data].[Year].&amp;[9]"/>
            <x15:cachedUniqueName index="10" name="[EMP_RAW_Data].[Year].&amp;[10]"/>
            <x15:cachedUniqueName index="11" name="[EMP_RAW_Data].[Year].&amp;[11]"/>
            <x15:cachedUniqueName index="12" name="[EMP_RAW_Data].[Year].&amp;[12]"/>
            <x15:cachedUniqueName index="13" name="[EMP_RAW_Data].[Year].&amp;[13]"/>
            <x15:cachedUniqueName index="14" name="[EMP_RAW_Data].[Year].&amp;[14]"/>
            <x15:cachedUniqueName index="15" name="[EMP_RAW_Data].[Year].&amp;[15]"/>
            <x15:cachedUniqueName index="16" name="[EMP_RAW_Data].[Year].&amp;[16]"/>
            <x15:cachedUniqueName index="17" name="[EMP_RAW_Data].[Year].&amp;[17]"/>
            <x15:cachedUniqueName index="18" name="[EMP_RAW_Data].[Year].&amp;[18]"/>
            <x15:cachedUniqueName index="19" name="[EMP_RAW_Data].[Year].&amp;[19]"/>
            <x15:cachedUniqueName index="20" name="[EMP_RAW_Data].[Year].&amp;[20]"/>
            <x15:cachedUniqueName index="21" name="[EMP_RAW_Data].[Year].&amp;[21]"/>
            <x15:cachedUniqueName index="22" name="[EMP_RAW_Data].[Year].&amp;[22]"/>
            <x15:cachedUniqueName index="23" name="[EMP_RAW_Data].[Year].&amp;[23]"/>
            <x15:cachedUniqueName index="24" name="[EMP_RAW_Data].[Year].&amp;[24]"/>
            <x15:cachedUniqueName index="25" name="[EMP_RAW_Data].[Year].&amp;[25]"/>
            <x15:cachedUniqueName index="26" name="[EMP_RAW_Data].[Year].&amp;[26]"/>
            <x15:cachedUniqueName index="27" name="[EMP_RAW_Data].[Year].&amp;[27]"/>
            <x15:cachedUniqueName index="28" name="[EMP_RAW_Data].[Year].&amp;[28]"/>
            <x15:cachedUniqueName index="29" name="[EMP_RAW_Data].[Year].&amp;[29]"/>
            <x15:cachedUniqueName index="30" name="[EMP_RAW_Data].[Year].&amp;[30]"/>
            <x15:cachedUniqueName index="31" name="[EMP_RAW_Data].[Year].&amp;[31]"/>
            <x15:cachedUniqueName index="32" name="[EMP_RAW_Data].[Year].&amp;[32]"/>
            <x15:cachedUniqueName index="33" name="[EMP_RAW_Data].[Year].&amp;[33]"/>
            <x15:cachedUniqueName index="34" name="[EMP_RAW_Data].[Year].&amp;[34]"/>
          </x15:cachedUniqueNames>
        </ext>
      </extLst>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4"/>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2" memberValueDatatype="20" unbalanced="0">
      <fieldsUsage count="2">
        <fieldUsage x="-1"/>
        <fieldUsage x="1"/>
      </fieldsUsage>
    </cacheHierarchy>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113426" backgroundQuery="1" createdVersion="8" refreshedVersion="8" minRefreshableVersion="3" recordCount="0" supportSubquery="1" supportAdvancedDrill="1" xr:uid="{98EE4C1E-3D67-4A18-87F1-F8A5F4F1EFC8}">
  <cacheSource type="external" connectionId="2"/>
  <cacheFields count="4">
    <cacheField name="[EMP_RAW_Data].[Country].[Country]" caption="Country" numFmtId="0" hierarchy="11" level="1">
      <sharedItems count="3">
        <s v="Brazil"/>
        <s v="China"/>
        <s v="United States"/>
      </sharedItems>
    </cacheField>
    <cacheField name="[Measures].[Count of EMP ID]" caption="Count of EMP ID" numFmtId="0" hierarchy="21" level="32767"/>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2"/>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3"/>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0"/>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2407407" backgroundQuery="1" createdVersion="8" refreshedVersion="8" minRefreshableVersion="3" recordCount="0" supportSubquery="1" supportAdvancedDrill="1" xr:uid="{15042A15-7ED3-418C-ACDF-8E880AB1D230}">
  <cacheSource type="external" connectionId="2"/>
  <cacheFields count="5">
    <cacheField name="[Measures].[Count of EMP ID]" caption="Count of EMP ID" numFmtId="0" hierarchy="21" level="32767"/>
    <cacheField name="[EMP_RAW_Data].[Employee Status].[Employee Status]" caption="Employee Status" numFmtId="0" hierarchy="18" level="1">
      <sharedItems count="2">
        <s v="Active"/>
        <s v="Inactive"/>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4"/>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2" memberValueDatatype="130" unbalanced="0">
      <fieldsUsage count="2">
        <fieldUsage x="-1"/>
        <fieldUsage x="1"/>
      </fieldsUsage>
    </cacheHierarchy>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3912039" backgroundQuery="1" createdVersion="8" refreshedVersion="8" minRefreshableVersion="3" recordCount="0" supportSubquery="1" supportAdvancedDrill="1" xr:uid="{6A81E0BC-335B-4967-AF36-B59AACB92B25}">
  <cacheSource type="external" connectionId="2"/>
  <cacheFields count="4">
    <cacheField name="[Measures].[Sum of Total Salary]" caption="Sum of Total Salary" numFmtId="0" hierarchy="22" level="32767"/>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2"/>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3"/>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1"/>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hidden="1">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5185186" backgroundQuery="1" createdVersion="8" refreshedVersion="8" minRefreshableVersion="3" recordCount="0" supportSubquery="1" supportAdvancedDrill="1" xr:uid="{032DB6F3-4861-4123-BB68-915BE2D247D5}">
  <cacheSource type="external" connectionId="2"/>
  <cacheFields count="5">
    <cacheField name="[Measures].[Count of EMP ID]" caption="Count of EMP ID" numFmtId="0" hierarchy="21" level="32767"/>
    <cacheField name="[EMP_RAW_Data].[Job Title].[Job Title]" caption="Job Title" numFmtId="0" hierarchy="1" level="1">
      <sharedItems count="10">
        <s v="Account Representative"/>
        <s v="Analyst"/>
        <s v="Analyst II"/>
        <s v="Computer Systems Manager"/>
        <s v="Director"/>
        <s v="Field Engineer"/>
        <s v="Manager"/>
        <s v="Sr. Analyst"/>
        <s v="Sr. Manger"/>
        <s v="Vice President"/>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2" memberValueDatatype="130" unbalanced="0">
      <fieldsUsage count="2">
        <fieldUsage x="-1"/>
        <fieldUsage x="1"/>
      </fieldsUsage>
    </cacheHierarchy>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4"/>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6458333" backgroundQuery="1" createdVersion="8" refreshedVersion="8" minRefreshableVersion="3" recordCount="0" supportSubquery="1" supportAdvancedDrill="1" xr:uid="{CC6B267A-D487-4EAC-9E1E-A2D88B870503}">
  <cacheSource type="external" connectionId="2"/>
  <cacheFields count="5">
    <cacheField name="[Measures].[Count of EMP ID]" caption="Count of EMP ID" numFmtId="0" hierarchy="21" level="32767"/>
    <cacheField name="[EMP_RAW_Data].[Job Title].[Job Title]" caption="Job Title" numFmtId="0" hierarchy="1" level="1">
      <sharedItems count="10">
        <s v="Automation Engineer"/>
        <s v="IT Coordinator"/>
        <s v="IT Systems Architect"/>
        <s v="Network Administrator"/>
        <s v="Network Engineer"/>
        <s v="Operations Engineer"/>
        <s v="Service Desk Analyst"/>
        <s v="Sr. Account Representative"/>
        <s v="Systems Analyst"/>
        <s v="Test Engineer"/>
      </sharedItems>
    </cacheField>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2" memberValueDatatype="130" unbalanced="0">
      <fieldsUsage count="2">
        <fieldUsage x="-1"/>
        <fieldUsage x="1"/>
      </fieldsUsage>
    </cacheHierarchy>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3"/>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4"/>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2"/>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8773148" backgroundQuery="1" createdVersion="8" refreshedVersion="8" minRefreshableVersion="3" recordCount="0" supportSubquery="1" supportAdvancedDrill="1" xr:uid="{241E5DAB-13C6-4DD3-A0E1-435DCCD24F76}">
  <cacheSource type="external" connectionId="2"/>
  <cacheFields count="4">
    <cacheField name="[Measures].[Count of EMP ID]" caption="Count of EMP ID" numFmtId="0" hierarchy="21" level="32767"/>
    <cacheField name="[EMP_RAW_Data].[Country].[Country]" caption="Country" numFmtId="0" hierarchy="11" level="1">
      <sharedItems containsSemiMixedTypes="0" containsNonDate="0" containsString="0"/>
    </cacheField>
    <cacheField name="[EMP_RAW_Data].[Department].[Department]" caption="Department" numFmtId="0" hierarchy="2" level="1">
      <sharedItems containsSemiMixedTypes="0" containsNonDate="0" containsString="0"/>
    </cacheField>
    <cacheField name="[EMP_RAW_Data].[Gender].[Gender]" caption="Gender" numFmtId="0" hierarchy="4" level="1">
      <sharedItems containsSemiMixedTypes="0" containsNonDate="0" containsString="0"/>
    </cacheField>
  </cacheFields>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fieldsUsage count="2">
        <fieldUsage x="-1"/>
        <fieldUsage x="2"/>
      </fieldsUsage>
    </cacheHierarchy>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fieldsUsage count="2">
        <fieldUsage x="-1"/>
        <fieldUsage x="3"/>
      </fieldsUsage>
    </cacheHierarchy>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fieldsUsage count="2">
        <fieldUsage x="-1"/>
        <fieldUsage x="1"/>
      </fieldsUsage>
    </cacheHierarchy>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dimensions count="2">
    <dimension name="EMP_RAW_Data" uniqueName="[EMP_RAW_Data]" caption="EMP_RAW_Data"/>
    <dimension measure="1" name="Measures" uniqueName="[Measures]" caption="Measures"/>
  </dimensions>
  <measureGroups count="1">
    <measureGroup name="EMP_RAW_Data" caption="EMP_RAW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rukh Sable" refreshedDate="46097.482290972221" createdVersion="8" refreshedVersion="8" minRefreshableVersion="3" recordCount="997" xr:uid="{E302CE58-E3FB-4DDE-A159-F2D8A703CAE4}">
  <cacheSource type="worksheet">
    <worksheetSource ref="A1:S998" sheet="EMP RAW Data"/>
  </cacheSource>
  <cacheFields count="19">
    <cacheField name="EMP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acheField>
    <cacheField name="Business Unit" numFmtId="0">
      <sharedItems/>
    </cacheField>
    <cacheField name="Gender" numFmtId="0">
      <sharedItems/>
    </cacheField>
    <cacheField name="Age" numFmtId="0">
      <sharedItems containsSemiMixedTypes="0" containsString="0" containsNumber="1" containsInteger="1" minValue="25" maxValue="65"/>
    </cacheField>
    <cacheField name="Age Group" numFmtId="0">
      <sharedItems/>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Salary" numFmtId="0">
      <sharedItems containsSemiMixedTypes="0" containsString="0" containsNumber="1" minValue="40063" maxValue="361796.4"/>
    </cacheField>
    <cacheField name="Country" numFmtId="0">
      <sharedItems/>
    </cacheField>
    <cacheField name="City" numFmtId="0">
      <sharedItems/>
    </cacheField>
    <cacheField name="Exit Date" numFmtId="14">
      <sharedItems containsNonDate="0" containsDate="1" containsString="0" containsBlank="1" minDate="1994-12-18T00:00:00" maxDate="2022-08-18T00:00:00"/>
    </cacheField>
    <cacheField name="Index" numFmtId="0">
      <sharedItems containsSemiMixedTypes="0" containsString="0" containsNumber="1" containsInteger="1" minValue="1" maxValue="997"/>
    </cacheField>
    <cacheField name="Status" numFmtId="0">
      <sharedItems containsSemiMixedTypes="0" containsString="0" containsNumber="1" containsInteger="1" minValue="0" maxValue="1"/>
    </cacheField>
    <cacheField name="Custom" numFmtId="0">
      <sharedItems/>
    </cacheField>
    <cacheField name="Year" numFmtId="0">
      <sharedItems containsSemiMixedTypes="0" containsString="0" containsNumber="1" containsInteger="1" minValue="0" maxValue="34"/>
    </cacheField>
    <cacheField name="Employee Status" numFmtId="0">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rukh Sable" refreshedDate="46097.482271527777" backgroundQuery="1" createdVersion="3" refreshedVersion="8" minRefreshableVersion="3" recordCount="0" supportSubquery="1" supportAdvancedDrill="1" xr:uid="{9198DA98-2B71-47F7-AE10-3CB8E857049E}">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EMP_RAW_Data].[EMP ID]" caption="EMP ID" attribute="1" defaultMemberUniqueName="[EMP_RAW_Data].[EMP ID].[All]" allUniqueName="[EMP_RAW_Data].[EMP ID].[All]" dimensionUniqueName="[EMP_RAW_Data]" displayFolder="" count="0" memberValueDatatype="130" unbalanced="0"/>
    <cacheHierarchy uniqueName="[EMP_RAW_Data].[Job Title]" caption="Job Title" attribute="1" defaultMemberUniqueName="[EMP_RAW_Data].[Job Title].[All]" allUniqueName="[EMP_RAW_Data].[Job Title].[All]" dimensionUniqueName="[EMP_RAW_Data]" displayFolder="" count="0" memberValueDatatype="130" unbalanced="0"/>
    <cacheHierarchy uniqueName="[EMP_RAW_Data].[Department]" caption="Department" attribute="1" defaultMemberUniqueName="[EMP_RAW_Data].[Department].[All]" allUniqueName="[EMP_RAW_Data].[Department].[All]" dimensionUniqueName="[EMP_RAW_Data]" displayFolder="" count="2" memberValueDatatype="130" unbalanced="0"/>
    <cacheHierarchy uniqueName="[EMP_RAW_Data].[Business Unit]" caption="Business Unit" attribute="1" defaultMemberUniqueName="[EMP_RAW_Data].[Business Unit].[All]" allUniqueName="[EMP_RAW_Data].[Business Unit].[All]" dimensionUniqueName="[EMP_RAW_Data]" displayFolder="" count="0" memberValueDatatype="130" unbalanced="0"/>
    <cacheHierarchy uniqueName="[EMP_RAW_Data].[Gender]" caption="Gender" attribute="1" defaultMemberUniqueName="[EMP_RAW_Data].[Gender].[All]" allUniqueName="[EMP_RAW_Data].[Gender].[All]" dimensionUniqueName="[EMP_RAW_Data]" displayFolder="" count="2" memberValueDatatype="130" unbalanced="0"/>
    <cacheHierarchy uniqueName="[EMP_RAW_Data].[Age]" caption="Age" attribute="1" defaultMemberUniqueName="[EMP_RAW_Data].[Age].[All]" allUniqueName="[EMP_RAW_Data].[Age].[All]" dimensionUniqueName="[EMP_RAW_Data]" displayFolder="" count="0" memberValueDatatype="20" unbalanced="0"/>
    <cacheHierarchy uniqueName="[EMP_RAW_Data].[Age Group]" caption="Age Group" attribute="1" defaultMemberUniqueName="[EMP_RAW_Data].[Age Group].[All]" allUniqueName="[EMP_RAW_Data].[Age Group].[All]" dimensionUniqueName="[EMP_RAW_Data]" displayFolder="" count="0" memberValueDatatype="130" unbalanced="0"/>
    <cacheHierarchy uniqueName="[EMP_RAW_Data].[Hire Date]" caption="Hire Date" attribute="1" time="1" defaultMemberUniqueName="[EMP_RAW_Data].[Hire Date].[All]" allUniqueName="[EMP_RAW_Data].[Hire Date].[All]" dimensionUniqueName="[EMP_RAW_Data]" displayFolder="" count="0" memberValueDatatype="7" unbalanced="0"/>
    <cacheHierarchy uniqueName="[EMP_RAW_Data].[Annual Salary]" caption="Annual Salary" attribute="1" defaultMemberUniqueName="[EMP_RAW_Data].[Annual Salary].[All]" allUniqueName="[EMP_RAW_Data].[Annual Salary].[All]" dimensionUniqueName="[EMP_RAW_Data]" displayFolder="" count="0" memberValueDatatype="20" unbalanced="0"/>
    <cacheHierarchy uniqueName="[EMP_RAW_Data].[Bonus %]" caption="Bonus %" attribute="1" defaultMemberUniqueName="[EMP_RAW_Data].[Bonus %].[All]" allUniqueName="[EMP_RAW_Data].[Bonus %].[All]" dimensionUniqueName="[EMP_RAW_Data]" displayFolder="" count="0" memberValueDatatype="5" unbalanced="0"/>
    <cacheHierarchy uniqueName="[EMP_RAW_Data].[Total Salary]" caption="Total Salary" attribute="1" defaultMemberUniqueName="[EMP_RAW_Data].[Total Salary].[All]" allUniqueName="[EMP_RAW_Data].[Total Salary].[All]" dimensionUniqueName="[EMP_RAW_Data]" displayFolder="" count="0" memberValueDatatype="5" unbalanced="0"/>
    <cacheHierarchy uniqueName="[EMP_RAW_Data].[Country]" caption="Country" attribute="1" defaultMemberUniqueName="[EMP_RAW_Data].[Country].[All]" allUniqueName="[EMP_RAW_Data].[Country].[All]" dimensionUniqueName="[EMP_RAW_Data]" displayFolder="" count="2" memberValueDatatype="130" unbalanced="0"/>
    <cacheHierarchy uniqueName="[EMP_RAW_Data].[City]" caption="City" attribute="1" defaultMemberUniqueName="[EMP_RAW_Data].[City].[All]" allUniqueName="[EMP_RAW_Data].[City].[All]" dimensionUniqueName="[EMP_RAW_Data]" displayFolder="" count="0" memberValueDatatype="130" unbalanced="0"/>
    <cacheHierarchy uniqueName="[EMP_RAW_Data].[Exit Date]" caption="Exit Date" attribute="1" time="1" defaultMemberUniqueName="[EMP_RAW_Data].[Exit Date].[All]" allUniqueName="[EMP_RAW_Data].[Exit Date].[All]" dimensionUniqueName="[EMP_RAW_Data]" displayFolder="" count="0" memberValueDatatype="7" unbalanced="0"/>
    <cacheHierarchy uniqueName="[EMP_RAW_Data].[Index]" caption="Index" attribute="1" defaultMemberUniqueName="[EMP_RAW_Data].[Index].[All]" allUniqueName="[EMP_RAW_Data].[Index].[All]" dimensionUniqueName="[EMP_RAW_Data]" displayFolder="" count="0" memberValueDatatype="20" unbalanced="0"/>
    <cacheHierarchy uniqueName="[EMP_RAW_Data].[Status]" caption="Status" attribute="1" defaultMemberUniqueName="[EMP_RAW_Data].[Status].[All]" allUniqueName="[EMP_RAW_Data].[Status].[All]" dimensionUniqueName="[EMP_RAW_Data]" displayFolder="" count="0" memberValueDatatype="20" unbalanced="0"/>
    <cacheHierarchy uniqueName="[EMP_RAW_Data].[Custom]" caption="Custom" attribute="1" defaultMemberUniqueName="[EMP_RAW_Data].[Custom].[All]" allUniqueName="[EMP_RAW_Data].[Custom].[All]" dimensionUniqueName="[EMP_RAW_Data]" displayFolder="" count="0" memberValueDatatype="130" unbalanced="0"/>
    <cacheHierarchy uniqueName="[EMP_RAW_Data].[Year]" caption="Year" attribute="1" defaultMemberUniqueName="[EMP_RAW_Data].[Year].[All]" allUniqueName="[EMP_RAW_Data].[Year].[All]" dimensionUniqueName="[EMP_RAW_Data]" displayFolder="" count="0" memberValueDatatype="20" unbalanced="0"/>
    <cacheHierarchy uniqueName="[EMP_RAW_Data].[Employee Status]" caption="Employee Status" attribute="1" defaultMemberUniqueName="[EMP_RAW_Data].[Employee Status].[All]" allUniqueName="[EMP_RAW_Data].[Employee Status].[All]" dimensionUniqueName="[EMP_RAW_Data]" displayFolder="" count="0" memberValueDatatype="130" unbalanced="0"/>
    <cacheHierarchy uniqueName="[Measures].[__XL_Count EMP_RAW_Data]" caption="__XL_Count EMP_RAW_Data" measure="1" displayFolder="" measureGroup="EMP_RAW_Data" count="0" hidden="1"/>
    <cacheHierarchy uniqueName="[Measures].[__No measures defined]" caption="__No measures defined" measure="1" displayFolder="" count="0" hidden="1"/>
    <cacheHierarchy uniqueName="[Measures].[Count of EMP ID]" caption="Count of EMP ID" measure="1" displayFolder="" measureGroup="EMP_RAW_Data" count="0" hidden="1">
      <extLst>
        <ext xmlns:x15="http://schemas.microsoft.com/office/spreadsheetml/2010/11/main" uri="{B97F6D7D-B522-45F9-BDA1-12C45D357490}">
          <x15:cacheHierarchy aggregatedColumn="0"/>
        </ext>
      </extLst>
    </cacheHierarchy>
    <cacheHierarchy uniqueName="[Measures].[Sum of Total Salary]" caption="Sum of Total Salary" measure="1" displayFolder="" measureGroup="EMP_RAW_Data"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EMP_RAW_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10417172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
  <r>
    <s v="EMP-1"/>
    <x v="0"/>
    <s v="IT"/>
    <s v="Research &amp; Development"/>
    <s v="Female"/>
    <n v="55"/>
    <s v="55-65"/>
    <d v="2016-04-08T00:00:00"/>
    <n v="141604"/>
    <n v="0.15"/>
    <n v="162844.6"/>
    <s v="United States"/>
    <s v="Seattle"/>
    <d v="2021-10-16T00:00:00"/>
    <n v="1"/>
    <n v="1"/>
    <s v="EMP-"/>
    <n v="5"/>
    <s v="Inactive"/>
  </r>
  <r>
    <s v="EMP-2"/>
    <x v="1"/>
    <s v="IT"/>
    <s v="Manufacturing"/>
    <s v="Male"/>
    <n v="59"/>
    <s v="55-65"/>
    <d v="1997-11-29T00:00:00"/>
    <n v="99975"/>
    <n v="0"/>
    <n v="99975"/>
    <s v="China"/>
    <s v="Chongqing"/>
    <m/>
    <n v="2"/>
    <n v="0"/>
    <s v="EMP-"/>
    <n v="28"/>
    <s v="Active"/>
  </r>
  <r>
    <s v="EMP-3"/>
    <x v="2"/>
    <s v="Finance"/>
    <s v="Speciality Products"/>
    <s v="Female"/>
    <n v="50"/>
    <s v="45-55"/>
    <d v="2006-10-26T00:00:00"/>
    <n v="163099"/>
    <n v="0.2"/>
    <n v="195718.8"/>
    <s v="United States"/>
    <s v="Chicago"/>
    <m/>
    <n v="3"/>
    <n v="0"/>
    <s v="EMP-"/>
    <n v="19"/>
    <s v="Active"/>
  </r>
  <r>
    <s v="EMP-4"/>
    <x v="3"/>
    <s v="IT"/>
    <s v="Manufacturing"/>
    <s v="Female"/>
    <n v="26"/>
    <s v="25-35"/>
    <d v="2019-09-27T00:00:00"/>
    <n v="84913"/>
    <n v="7.0000000000000007E-2"/>
    <n v="90856.91"/>
    <s v="United States"/>
    <s v="Chicago"/>
    <m/>
    <n v="4"/>
    <n v="0"/>
    <s v="EMP-"/>
    <n v="6"/>
    <s v="Active"/>
  </r>
  <r>
    <s v="EMP-5"/>
    <x v="4"/>
    <s v="Finance"/>
    <s v="Manufacturing"/>
    <s v="Male"/>
    <n v="55"/>
    <s v="55-65"/>
    <d v="1995-11-20T00:00:00"/>
    <n v="95409"/>
    <n v="0"/>
    <n v="95409"/>
    <s v="United States"/>
    <s v="Phoenix"/>
    <m/>
    <n v="5"/>
    <n v="0"/>
    <s v="EMP-"/>
    <n v="30"/>
    <s v="Active"/>
  </r>
  <r>
    <s v="EMP-6"/>
    <x v="5"/>
    <s v="Sales"/>
    <s v="Corporate"/>
    <s v="Male"/>
    <n v="57"/>
    <s v="55-65"/>
    <d v="2017-01-24T00:00:00"/>
    <n v="50994"/>
    <n v="0"/>
    <n v="50994"/>
    <s v="China"/>
    <s v="Chongqing"/>
    <m/>
    <n v="6"/>
    <n v="0"/>
    <s v="EMP-"/>
    <n v="9"/>
    <s v="Active"/>
  </r>
  <r>
    <s v="EMP-7"/>
    <x v="6"/>
    <s v="IT"/>
    <s v="Corporate"/>
    <s v="Female"/>
    <n v="27"/>
    <s v="25-35"/>
    <d v="2020-07-01T00:00:00"/>
    <n v="119746"/>
    <n v="0.1"/>
    <n v="131720.6"/>
    <s v="United States"/>
    <s v="Phoenix"/>
    <m/>
    <n v="7"/>
    <n v="0"/>
    <s v="EMP-"/>
    <n v="5"/>
    <s v="Active"/>
  </r>
  <r>
    <s v="EMP-8"/>
    <x v="7"/>
    <s v="Finance"/>
    <s v="Manufacturing"/>
    <s v="Male"/>
    <n v="25"/>
    <s v="25-35"/>
    <d v="2020-05-16T00:00:00"/>
    <n v="41336"/>
    <n v="0"/>
    <n v="41336"/>
    <s v="United States"/>
    <s v="Miami"/>
    <d v="2021-05-20T00:00:00"/>
    <n v="8"/>
    <n v="1"/>
    <s v="EMP-"/>
    <n v="1"/>
    <s v="Inactive"/>
  </r>
  <r>
    <s v="EMP-9"/>
    <x v="6"/>
    <s v="Accounting"/>
    <s v="Manufacturing"/>
    <s v="Male"/>
    <n v="29"/>
    <s v="25-35"/>
    <d v="2019-01-25T00:00:00"/>
    <n v="113527"/>
    <n v="0.06"/>
    <n v="120338.62"/>
    <s v="United States"/>
    <s v="Austin"/>
    <m/>
    <n v="9"/>
    <n v="0"/>
    <s v="EMP-"/>
    <n v="7"/>
    <s v="Active"/>
  </r>
  <r>
    <s v="EMP-10"/>
    <x v="4"/>
    <s v="Finance"/>
    <s v="Speciality Products"/>
    <s v="Female"/>
    <n v="34"/>
    <s v="25-35"/>
    <d v="2018-06-13T00:00:00"/>
    <n v="77203"/>
    <n v="0"/>
    <n v="77203"/>
    <s v="United States"/>
    <s v="Chicago"/>
    <m/>
    <n v="10"/>
    <n v="0"/>
    <s v="EMP-"/>
    <n v="7"/>
    <s v="Active"/>
  </r>
  <r>
    <s v="EMP-11"/>
    <x v="0"/>
    <s v="Human Resources"/>
    <s v="Manufacturing"/>
    <s v="Female"/>
    <n v="36"/>
    <s v="35-45"/>
    <d v="2009-02-11T00:00:00"/>
    <n v="157333"/>
    <n v="0.15"/>
    <n v="180932.95"/>
    <s v="United States"/>
    <s v="Miami"/>
    <m/>
    <n v="11"/>
    <n v="0"/>
    <s v="EMP-"/>
    <n v="17"/>
    <s v="Active"/>
  </r>
  <r>
    <s v="EMP-12"/>
    <x v="8"/>
    <s v="Engineering"/>
    <s v="Speciality Products"/>
    <s v="Female"/>
    <n v="27"/>
    <s v="25-35"/>
    <d v="2021-10-21T00:00:00"/>
    <n v="109851"/>
    <n v="0"/>
    <n v="109851"/>
    <s v="United States"/>
    <s v="Seattle"/>
    <m/>
    <n v="12"/>
    <n v="0"/>
    <s v="EMP-"/>
    <n v="4"/>
    <s v="Active"/>
  </r>
  <r>
    <s v="EMP-13"/>
    <x v="6"/>
    <s v="Human Resources"/>
    <s v="Manufacturing"/>
    <s v="Male"/>
    <n v="59"/>
    <s v="55-65"/>
    <d v="1999-03-14T00:00:00"/>
    <n v="105086"/>
    <n v="0.09"/>
    <n v="114543.74"/>
    <s v="United States"/>
    <s v="Austin"/>
    <m/>
    <n v="13"/>
    <n v="0"/>
    <s v="EMP-"/>
    <n v="27"/>
    <s v="Active"/>
  </r>
  <r>
    <s v="EMP-14"/>
    <x v="0"/>
    <s v="Finance"/>
    <s v="Research &amp; Development"/>
    <s v="Female"/>
    <n v="51"/>
    <s v="45-55"/>
    <d v="2021-06-10T00:00:00"/>
    <n v="146742"/>
    <n v="0.1"/>
    <n v="161416.20000000001"/>
    <s v="China"/>
    <s v="Shanghai"/>
    <m/>
    <n v="14"/>
    <n v="0"/>
    <s v="EMP-"/>
    <n v="4"/>
    <s v="Active"/>
  </r>
  <r>
    <s v="EMP-15"/>
    <x v="4"/>
    <s v="Accounting"/>
    <s v="Speciality Products"/>
    <s v="Male"/>
    <n v="31"/>
    <s v="25-35"/>
    <d v="2017-11-04T00:00:00"/>
    <n v="97078"/>
    <n v="0"/>
    <n v="97078"/>
    <s v="United States"/>
    <s v="Austin"/>
    <d v="2020-03-09T00:00:00"/>
    <n v="15"/>
    <n v="1"/>
    <s v="EMP-"/>
    <n v="2"/>
    <s v="Inactive"/>
  </r>
  <r>
    <s v="EMP-16"/>
    <x v="9"/>
    <s v="Marketing"/>
    <s v="Research &amp; Development"/>
    <s v="Female"/>
    <n v="41"/>
    <s v="35-45"/>
    <d v="2013-03-13T00:00:00"/>
    <n v="249270"/>
    <n v="0.3"/>
    <n v="324051"/>
    <s v="United States"/>
    <s v="Seattle"/>
    <m/>
    <n v="16"/>
    <n v="0"/>
    <s v="EMP-"/>
    <n v="13"/>
    <s v="Active"/>
  </r>
  <r>
    <s v="EMP-17"/>
    <x v="2"/>
    <s v="Finance"/>
    <s v="Research &amp; Development"/>
    <s v="Female"/>
    <n v="65"/>
    <s v="65-100"/>
    <d v="2002-03-04T00:00:00"/>
    <n v="175837"/>
    <n v="0.2"/>
    <n v="211004.4"/>
    <s v="United States"/>
    <s v="Phoenix"/>
    <m/>
    <n v="17"/>
    <n v="0"/>
    <s v="EMP-"/>
    <n v="24"/>
    <s v="Active"/>
  </r>
  <r>
    <s v="EMP-18"/>
    <x v="0"/>
    <s v="Marketing"/>
    <s v="Speciality Products"/>
    <s v="Female"/>
    <n v="64"/>
    <s v="55-65"/>
    <d v="2003-12-01T00:00:00"/>
    <n v="154828"/>
    <n v="0.13"/>
    <n v="174955.64"/>
    <s v="United States"/>
    <s v="Seattle"/>
    <m/>
    <n v="18"/>
    <n v="0"/>
    <s v="EMP-"/>
    <n v="22"/>
    <s v="Active"/>
  </r>
  <r>
    <s v="EMP-19"/>
    <x v="2"/>
    <s v="IT"/>
    <s v="Corporate"/>
    <s v="Male"/>
    <n v="64"/>
    <s v="55-65"/>
    <d v="2013-11-03T00:00:00"/>
    <n v="186503"/>
    <n v="0.24"/>
    <n v="231263.72"/>
    <s v="United States"/>
    <s v="Columbus"/>
    <m/>
    <n v="19"/>
    <n v="0"/>
    <s v="EMP-"/>
    <n v="12"/>
    <s v="Active"/>
  </r>
  <r>
    <s v="EMP-20"/>
    <x v="2"/>
    <s v="Sales"/>
    <s v="Research &amp; Development"/>
    <s v="Male"/>
    <n v="45"/>
    <s v="45-55"/>
    <d v="2002-07-09T00:00:00"/>
    <n v="166331"/>
    <n v="0.18"/>
    <n v="196270.58"/>
    <s v="China"/>
    <s v="Chongqing"/>
    <m/>
    <n v="20"/>
    <n v="0"/>
    <s v="EMP-"/>
    <n v="23"/>
    <s v="Active"/>
  </r>
  <r>
    <s v="EMP-21"/>
    <x v="0"/>
    <s v="IT"/>
    <s v="Manufacturing"/>
    <s v="Male"/>
    <n v="56"/>
    <s v="55-65"/>
    <d v="2012-01-09T00:00:00"/>
    <n v="146140"/>
    <n v="0.1"/>
    <n v="160754"/>
    <s v="Brazil"/>
    <s v="Manaus"/>
    <m/>
    <n v="21"/>
    <n v="0"/>
    <s v="EMP-"/>
    <n v="14"/>
    <s v="Active"/>
  </r>
  <r>
    <s v="EMP-22"/>
    <x v="2"/>
    <s v="Sales"/>
    <s v="Manufacturing"/>
    <s v="Female"/>
    <n v="36"/>
    <s v="35-45"/>
    <d v="2021-04-02T00:00:00"/>
    <n v="151703"/>
    <n v="0.21"/>
    <n v="183560.63"/>
    <s v="United States"/>
    <s v="Miami"/>
    <m/>
    <n v="22"/>
    <n v="0"/>
    <s v="EMP-"/>
    <n v="4"/>
    <s v="Active"/>
  </r>
  <r>
    <s v="EMP-23"/>
    <x v="2"/>
    <s v="IT"/>
    <s v="Research &amp; Development"/>
    <s v="Male"/>
    <n v="59"/>
    <s v="55-65"/>
    <d v="2002-05-24T00:00:00"/>
    <n v="172787"/>
    <n v="0.28000000000000003"/>
    <n v="221167.36000000002"/>
    <s v="Brazil"/>
    <s v="Rio de Janerio"/>
    <m/>
    <n v="23"/>
    <n v="0"/>
    <s v="EMP-"/>
    <n v="23"/>
    <s v="Active"/>
  </r>
  <r>
    <s v="EMP-24"/>
    <x v="7"/>
    <s v="Sales"/>
    <s v="Speciality Products"/>
    <s v="Male"/>
    <n v="37"/>
    <s v="35-45"/>
    <d v="2019-09-05T00:00:00"/>
    <n v="49998"/>
    <n v="0"/>
    <n v="49998"/>
    <s v="United States"/>
    <s v="Seattle"/>
    <m/>
    <n v="24"/>
    <n v="0"/>
    <s v="EMP-"/>
    <n v="6"/>
    <s v="Active"/>
  </r>
  <r>
    <s v="EMP-25"/>
    <x v="9"/>
    <s v="Sales"/>
    <s v="Speciality Products"/>
    <s v="Male"/>
    <n v="44"/>
    <s v="35-45"/>
    <d v="2014-03-02T00:00:00"/>
    <n v="207172"/>
    <n v="0.31"/>
    <n v="271395.32"/>
    <s v="China"/>
    <s v="Chongqing"/>
    <m/>
    <n v="25"/>
    <n v="0"/>
    <s v="EMP-"/>
    <n v="12"/>
    <s v="Active"/>
  </r>
  <r>
    <s v="EMP-26"/>
    <x v="2"/>
    <s v="Human Resources"/>
    <s v="Speciality Products"/>
    <s v="Male"/>
    <n v="41"/>
    <s v="35-45"/>
    <d v="2015-04-17T00:00:00"/>
    <n v="152239"/>
    <n v="0.23"/>
    <n v="187253.97"/>
    <s v="United States"/>
    <s v="Columbus"/>
    <m/>
    <n v="26"/>
    <n v="0"/>
    <s v="EMP-"/>
    <n v="10"/>
    <s v="Active"/>
  </r>
  <r>
    <s v="EMP-27"/>
    <x v="10"/>
    <s v="Engineering"/>
    <s v="Corporate"/>
    <s v="Female"/>
    <n v="56"/>
    <s v="55-65"/>
    <d v="2005-02-05T00:00:00"/>
    <n v="98581"/>
    <n v="0"/>
    <n v="98581"/>
    <s v="Brazil"/>
    <s v="Rio de Janerio"/>
    <m/>
    <n v="27"/>
    <n v="0"/>
    <s v="EMP-"/>
    <n v="21"/>
    <s v="Active"/>
  </r>
  <r>
    <s v="EMP-28"/>
    <x v="9"/>
    <s v="Engineering"/>
    <s v="Speciality Products"/>
    <s v="Male"/>
    <n v="43"/>
    <s v="35-45"/>
    <d v="2004-06-07T00:00:00"/>
    <n v="246231"/>
    <n v="0.31"/>
    <n v="322562.61"/>
    <s v="United States"/>
    <s v="Seattle"/>
    <m/>
    <n v="28"/>
    <n v="0"/>
    <s v="EMP-"/>
    <n v="21"/>
    <s v="Active"/>
  </r>
  <r>
    <s v="EMP-29"/>
    <x v="11"/>
    <s v="Engineering"/>
    <s v="Speciality Products"/>
    <s v="Male"/>
    <n v="64"/>
    <s v="55-65"/>
    <d v="1996-12-04T00:00:00"/>
    <n v="99354"/>
    <n v="0.12"/>
    <n v="111276.48"/>
    <s v="China"/>
    <s v="Beijing"/>
    <m/>
    <n v="29"/>
    <n v="0"/>
    <s v="EMP-"/>
    <n v="29"/>
    <s v="Active"/>
  </r>
  <r>
    <s v="EMP-30"/>
    <x v="9"/>
    <s v="IT"/>
    <s v="Corporate"/>
    <s v="Male"/>
    <n v="63"/>
    <s v="55-65"/>
    <d v="2012-05-11T00:00:00"/>
    <n v="231141"/>
    <n v="0.34"/>
    <n v="309728.94"/>
    <s v="China"/>
    <s v="Beijing"/>
    <m/>
    <n v="30"/>
    <n v="0"/>
    <s v="EMP-"/>
    <n v="13"/>
    <s v="Active"/>
  </r>
  <r>
    <s v="EMP-31"/>
    <x v="12"/>
    <s v="IT"/>
    <s v="Research &amp; Development"/>
    <s v="Male"/>
    <n v="28"/>
    <s v="25-35"/>
    <d v="2017-06-25T00:00:00"/>
    <n v="54775"/>
    <n v="0"/>
    <n v="54775"/>
    <s v="United States"/>
    <s v="Columbus"/>
    <m/>
    <n v="31"/>
    <n v="0"/>
    <s v="EMP-"/>
    <n v="8"/>
    <s v="Active"/>
  </r>
  <r>
    <s v="EMP-32"/>
    <x v="7"/>
    <s v="Finance"/>
    <s v="Manufacturing"/>
    <s v="Male"/>
    <n v="65"/>
    <s v="65-100"/>
    <d v="2004-05-16T00:00:00"/>
    <n v="55499"/>
    <n v="0"/>
    <n v="55499"/>
    <s v="Brazil"/>
    <s v="Manaus"/>
    <m/>
    <n v="32"/>
    <n v="0"/>
    <s v="EMP-"/>
    <n v="21"/>
    <s v="Active"/>
  </r>
  <r>
    <s v="EMP-33"/>
    <x v="13"/>
    <s v="Sales"/>
    <s v="Research &amp; Development"/>
    <s v="Male"/>
    <n v="61"/>
    <s v="55-65"/>
    <d v="2008-07-11T00:00:00"/>
    <n v="66521"/>
    <n v="0"/>
    <n v="66521"/>
    <s v="United States"/>
    <s v="Seattle"/>
    <m/>
    <n v="33"/>
    <n v="0"/>
    <s v="EMP-"/>
    <n v="17"/>
    <s v="Active"/>
  </r>
  <r>
    <s v="EMP-34"/>
    <x v="5"/>
    <s v="Sales"/>
    <s v="Speciality Products"/>
    <s v="Male"/>
    <n v="30"/>
    <s v="25-35"/>
    <d v="2016-09-29T00:00:00"/>
    <n v="59100"/>
    <n v="0"/>
    <n v="59100"/>
    <s v="China"/>
    <s v="Chongqing"/>
    <m/>
    <n v="34"/>
    <n v="0"/>
    <s v="EMP-"/>
    <n v="9"/>
    <s v="Active"/>
  </r>
  <r>
    <s v="EMP-35"/>
    <x v="7"/>
    <s v="Finance"/>
    <s v="Research &amp; Development"/>
    <s v="Female"/>
    <n v="27"/>
    <s v="25-35"/>
    <d v="2018-05-06T00:00:00"/>
    <n v="49011"/>
    <n v="0"/>
    <n v="49011"/>
    <s v="United States"/>
    <s v="Chicago"/>
    <m/>
    <n v="35"/>
    <n v="0"/>
    <s v="EMP-"/>
    <n v="7"/>
    <s v="Active"/>
  </r>
  <r>
    <s v="EMP-36"/>
    <x v="14"/>
    <s v="IT"/>
    <s v="Manufacturing"/>
    <s v="Female"/>
    <n v="32"/>
    <s v="25-35"/>
    <d v="2014-02-11T00:00:00"/>
    <n v="99575"/>
    <n v="0"/>
    <n v="99575"/>
    <s v="United States"/>
    <s v="Austin"/>
    <m/>
    <n v="36"/>
    <n v="0"/>
    <s v="EMP-"/>
    <n v="12"/>
    <s v="Active"/>
  </r>
  <r>
    <s v="EMP-37"/>
    <x v="8"/>
    <s v="Engineering"/>
    <s v="Manufacturing"/>
    <s v="Female"/>
    <n v="34"/>
    <s v="25-35"/>
    <d v="2019-12-16T00:00:00"/>
    <n v="99989"/>
    <n v="0"/>
    <n v="99989"/>
    <s v="China"/>
    <s v="Chengdu"/>
    <m/>
    <n v="37"/>
    <n v="0"/>
    <s v="EMP-"/>
    <n v="6"/>
    <s v="Active"/>
  </r>
  <r>
    <s v="EMP-38"/>
    <x v="9"/>
    <s v="Marketing"/>
    <s v="Research &amp; Development"/>
    <s v="Male"/>
    <n v="27"/>
    <s v="25-35"/>
    <d v="2019-10-20T00:00:00"/>
    <n v="256420"/>
    <n v="0.3"/>
    <n v="333346"/>
    <s v="United States"/>
    <s v="Phoenix"/>
    <m/>
    <n v="38"/>
    <n v="0"/>
    <s v="EMP-"/>
    <n v="6"/>
    <s v="Active"/>
  </r>
  <r>
    <s v="EMP-39"/>
    <x v="1"/>
    <s v="IT"/>
    <s v="Manufacturing"/>
    <s v="Female"/>
    <n v="35"/>
    <s v="35-45"/>
    <d v="2013-05-15T00:00:00"/>
    <n v="78940"/>
    <n v="0"/>
    <n v="78940"/>
    <s v="United States"/>
    <s v="Miami"/>
    <m/>
    <n v="39"/>
    <n v="0"/>
    <s v="EMP-"/>
    <n v="12"/>
    <s v="Active"/>
  </r>
  <r>
    <s v="EMP-40"/>
    <x v="14"/>
    <s v="IT"/>
    <s v="Corporate"/>
    <s v="Female"/>
    <n v="57"/>
    <s v="55-65"/>
    <d v="1994-01-03T00:00:00"/>
    <n v="82872"/>
    <n v="0"/>
    <n v="82872"/>
    <s v="Brazil"/>
    <s v="Manaus"/>
    <m/>
    <n v="40"/>
    <n v="0"/>
    <s v="EMP-"/>
    <n v="32"/>
    <s v="Active"/>
  </r>
  <r>
    <s v="EMP-41"/>
    <x v="15"/>
    <s v="Human Resources"/>
    <s v="Speciality Products"/>
    <s v="Male"/>
    <n v="30"/>
    <s v="25-35"/>
    <d v="2017-05-29T00:00:00"/>
    <n v="86317"/>
    <n v="0"/>
    <n v="86317"/>
    <s v="China"/>
    <s v="Chengdu"/>
    <d v="2017-07-16T00:00:00"/>
    <n v="41"/>
    <n v="1"/>
    <s v="EMP-"/>
    <n v="0"/>
    <s v="Inactive"/>
  </r>
  <r>
    <s v="EMP-42"/>
    <x v="6"/>
    <s v="Marketing"/>
    <s v="Speciality Products"/>
    <s v="Female"/>
    <n v="53"/>
    <s v="45-55"/>
    <d v="2013-11-23T00:00:00"/>
    <n v="113135"/>
    <n v="0.05"/>
    <n v="118791.75"/>
    <s v="United States"/>
    <s v="Austin"/>
    <m/>
    <n v="42"/>
    <n v="0"/>
    <s v="EMP-"/>
    <n v="12"/>
    <s v="Active"/>
  </r>
  <r>
    <s v="EMP-43"/>
    <x v="9"/>
    <s v="IT"/>
    <s v="Speciality Products"/>
    <s v="Male"/>
    <n v="52"/>
    <s v="45-55"/>
    <d v="2005-11-08T00:00:00"/>
    <n v="199808"/>
    <n v="0.32"/>
    <n v="263746.56"/>
    <s v="United States"/>
    <s v="Seattle"/>
    <m/>
    <n v="43"/>
    <n v="0"/>
    <s v="EMP-"/>
    <n v="20"/>
    <s v="Active"/>
  </r>
  <r>
    <s v="EMP-44"/>
    <x v="5"/>
    <s v="Sales"/>
    <s v="Speciality Products"/>
    <s v="Male"/>
    <n v="37"/>
    <s v="35-45"/>
    <d v="2013-11-14T00:00:00"/>
    <n v="56037"/>
    <n v="0"/>
    <n v="56037"/>
    <s v="China"/>
    <s v="Shanghai"/>
    <m/>
    <n v="44"/>
    <n v="0"/>
    <s v="EMP-"/>
    <n v="12"/>
    <s v="Active"/>
  </r>
  <r>
    <s v="EMP-45"/>
    <x v="0"/>
    <s v="Marketing"/>
    <s v="Research &amp; Development"/>
    <s v="Female"/>
    <n v="29"/>
    <s v="25-35"/>
    <d v="2019-05-24T00:00:00"/>
    <n v="122350"/>
    <n v="0.12"/>
    <n v="137032"/>
    <s v="United States"/>
    <s v="Phoenix"/>
    <m/>
    <n v="45"/>
    <n v="0"/>
    <s v="EMP-"/>
    <n v="6"/>
    <s v="Active"/>
  </r>
  <r>
    <s v="EMP-46"/>
    <x v="14"/>
    <s v="IT"/>
    <s v="Research &amp; Development"/>
    <s v="Male"/>
    <n v="40"/>
    <s v="35-45"/>
    <d v="2010-11-04T00:00:00"/>
    <n v="92952"/>
    <n v="0"/>
    <n v="92952"/>
    <s v="United States"/>
    <s v="Seattle"/>
    <m/>
    <n v="46"/>
    <n v="0"/>
    <s v="EMP-"/>
    <n v="15"/>
    <s v="Active"/>
  </r>
  <r>
    <s v="EMP-47"/>
    <x v="3"/>
    <s v="IT"/>
    <s v="Corporate"/>
    <s v="Male"/>
    <n v="32"/>
    <s v="25-35"/>
    <d v="2013-03-20T00:00:00"/>
    <n v="79921"/>
    <n v="0.05"/>
    <n v="83917.05"/>
    <s v="United States"/>
    <s v="Austin"/>
    <m/>
    <n v="47"/>
    <n v="0"/>
    <s v="EMP-"/>
    <n v="12"/>
    <s v="Active"/>
  </r>
  <r>
    <s v="EMP-48"/>
    <x v="2"/>
    <s v="IT"/>
    <s v="Research &amp; Development"/>
    <s v="Female"/>
    <n v="37"/>
    <s v="35-45"/>
    <d v="2009-09-20T00:00:00"/>
    <n v="167199"/>
    <n v="0.2"/>
    <n v="200638.8"/>
    <s v="United States"/>
    <s v="Seattle"/>
    <m/>
    <n v="48"/>
    <n v="0"/>
    <s v="EMP-"/>
    <n v="16"/>
    <s v="Active"/>
  </r>
  <r>
    <s v="EMP-49"/>
    <x v="10"/>
    <s v="Engineering"/>
    <s v="Research &amp; Development"/>
    <s v="Male"/>
    <n v="52"/>
    <s v="45-55"/>
    <d v="2012-10-17T00:00:00"/>
    <n v="71476"/>
    <n v="0"/>
    <n v="71476"/>
    <s v="United States"/>
    <s v="Phoenix"/>
    <m/>
    <n v="49"/>
    <n v="0"/>
    <s v="EMP-"/>
    <n v="13"/>
    <s v="Active"/>
  </r>
  <r>
    <s v="EMP-50"/>
    <x v="2"/>
    <s v="Engineering"/>
    <s v="Manufacturing"/>
    <s v="Female"/>
    <n v="45"/>
    <s v="45-55"/>
    <d v="2014-10-29T00:00:00"/>
    <n v="189420"/>
    <n v="0.2"/>
    <n v="227304"/>
    <s v="United States"/>
    <s v="Seattle"/>
    <m/>
    <n v="50"/>
    <n v="0"/>
    <s v="EMP-"/>
    <n v="11"/>
    <s v="Active"/>
  </r>
  <r>
    <s v="EMP-51"/>
    <x v="16"/>
    <s v="Human Resources"/>
    <s v="Research &amp; Development"/>
    <s v="Female"/>
    <n v="64"/>
    <s v="55-65"/>
    <d v="2001-10-20T00:00:00"/>
    <n v="64057"/>
    <n v="0"/>
    <n v="64057"/>
    <s v="United States"/>
    <s v="Phoenix"/>
    <m/>
    <n v="51"/>
    <n v="0"/>
    <s v="EMP-"/>
    <n v="24"/>
    <s v="Active"/>
  </r>
  <r>
    <s v="EMP-52"/>
    <x v="13"/>
    <s v="Marketing"/>
    <s v="Manufacturing"/>
    <s v="Female"/>
    <n v="27"/>
    <s v="25-35"/>
    <d v="2021-09-21T00:00:00"/>
    <n v="68728"/>
    <n v="0"/>
    <n v="68728"/>
    <s v="United States"/>
    <s v="Phoenix"/>
    <m/>
    <n v="52"/>
    <n v="0"/>
    <s v="EMP-"/>
    <n v="4"/>
    <s v="Active"/>
  </r>
  <r>
    <s v="EMP-53"/>
    <x v="0"/>
    <s v="IT"/>
    <s v="Manufacturing"/>
    <s v="Female"/>
    <n v="25"/>
    <s v="25-35"/>
    <d v="2021-07-02T00:00:00"/>
    <n v="125633"/>
    <n v="0.11"/>
    <n v="139452.63"/>
    <s v="China"/>
    <s v="Beijing"/>
    <m/>
    <n v="53"/>
    <n v="0"/>
    <s v="EMP-"/>
    <n v="4"/>
    <s v="Active"/>
  </r>
  <r>
    <s v="EMP-54"/>
    <x v="13"/>
    <s v="Marketing"/>
    <s v="Manufacturing"/>
    <s v="Male"/>
    <n v="35"/>
    <s v="35-45"/>
    <d v="2011-05-15T00:00:00"/>
    <n v="66889"/>
    <n v="0"/>
    <n v="66889"/>
    <s v="United States"/>
    <s v="Columbus"/>
    <m/>
    <n v="54"/>
    <n v="0"/>
    <s v="EMP-"/>
    <n v="14"/>
    <s v="Active"/>
  </r>
  <r>
    <s v="EMP-55"/>
    <x v="2"/>
    <s v="Accounting"/>
    <s v="Research &amp; Development"/>
    <s v="Female"/>
    <n v="36"/>
    <s v="35-45"/>
    <d v="2015-09-29T00:00:00"/>
    <n v="178700"/>
    <n v="0.28999999999999998"/>
    <n v="230523"/>
    <s v="United States"/>
    <s v="Seattle"/>
    <m/>
    <n v="55"/>
    <n v="0"/>
    <s v="EMP-"/>
    <n v="10"/>
    <s v="Active"/>
  </r>
  <r>
    <s v="EMP-56"/>
    <x v="17"/>
    <s v="Engineering"/>
    <s v="Research &amp; Development"/>
    <s v="Female"/>
    <n v="33"/>
    <s v="25-35"/>
    <d v="2018-12-22T00:00:00"/>
    <n v="83990"/>
    <n v="0"/>
    <n v="83990"/>
    <s v="United States"/>
    <s v="Chicago"/>
    <m/>
    <n v="56"/>
    <n v="0"/>
    <s v="EMP-"/>
    <n v="7"/>
    <s v="Active"/>
  </r>
  <r>
    <s v="EMP-57"/>
    <x v="18"/>
    <s v="Engineering"/>
    <s v="Corporate"/>
    <s v="Female"/>
    <n v="52"/>
    <s v="45-55"/>
    <d v="2005-12-10T00:00:00"/>
    <n v="102043"/>
    <n v="0"/>
    <n v="102043"/>
    <s v="United States"/>
    <s v="Chicago"/>
    <m/>
    <n v="57"/>
    <n v="0"/>
    <s v="EMP-"/>
    <n v="20"/>
    <s v="Active"/>
  </r>
  <r>
    <s v="EMP-58"/>
    <x v="19"/>
    <s v="Engineering"/>
    <s v="Manufacturing"/>
    <s v="Female"/>
    <n v="46"/>
    <s v="45-55"/>
    <d v="2001-05-30T00:00:00"/>
    <n v="90678"/>
    <n v="0"/>
    <n v="90678"/>
    <s v="United States"/>
    <s v="Columbus"/>
    <m/>
    <n v="58"/>
    <n v="0"/>
    <s v="EMP-"/>
    <n v="24"/>
    <s v="Active"/>
  </r>
  <r>
    <s v="EMP-59"/>
    <x v="20"/>
    <s v="Human Resources"/>
    <s v="Manufacturing"/>
    <s v="Female"/>
    <n v="46"/>
    <s v="45-55"/>
    <d v="2008-08-21T00:00:00"/>
    <n v="59067"/>
    <n v="0"/>
    <n v="59067"/>
    <s v="United States"/>
    <s v="Miami"/>
    <m/>
    <n v="59"/>
    <n v="0"/>
    <s v="EMP-"/>
    <n v="17"/>
    <s v="Active"/>
  </r>
  <r>
    <s v="EMP-60"/>
    <x v="0"/>
    <s v="Marketing"/>
    <s v="Research &amp; Development"/>
    <s v="Male"/>
    <n v="45"/>
    <s v="45-55"/>
    <d v="2021-03-11T00:00:00"/>
    <n v="135062"/>
    <n v="0.15"/>
    <n v="155321.29999999999"/>
    <s v="China"/>
    <s v="Chengdu"/>
    <m/>
    <n v="60"/>
    <n v="0"/>
    <s v="EMP-"/>
    <n v="5"/>
    <s v="Active"/>
  </r>
  <r>
    <s v="EMP-61"/>
    <x v="0"/>
    <s v="IT"/>
    <s v="Corporate"/>
    <s v="Female"/>
    <n v="55"/>
    <s v="55-65"/>
    <d v="2006-08-16T00:00:00"/>
    <n v="159044"/>
    <n v="0.1"/>
    <n v="174948.4"/>
    <s v="Brazil"/>
    <s v="Manaus"/>
    <m/>
    <n v="61"/>
    <n v="0"/>
    <s v="EMP-"/>
    <n v="19"/>
    <s v="Active"/>
  </r>
  <r>
    <s v="EMP-62"/>
    <x v="4"/>
    <s v="Accounting"/>
    <s v="Manufacturing"/>
    <s v="Female"/>
    <n v="44"/>
    <s v="35-45"/>
    <d v="2019-01-02T00:00:00"/>
    <n v="74691"/>
    <n v="0"/>
    <n v="74691"/>
    <s v="Brazil"/>
    <s v="Manaus"/>
    <d v="2020-07-08T00:00:00"/>
    <n v="62"/>
    <n v="1"/>
    <s v="EMP-"/>
    <n v="1"/>
    <s v="Inactive"/>
  </r>
  <r>
    <s v="EMP-63"/>
    <x v="11"/>
    <s v="Engineering"/>
    <s v="Corporate"/>
    <s v="Female"/>
    <n v="44"/>
    <s v="35-45"/>
    <d v="2008-12-18T00:00:00"/>
    <n v="92753"/>
    <n v="0.13"/>
    <n v="104810.89"/>
    <s v="United States"/>
    <s v="Austin"/>
    <d v="2021-06-24T00:00:00"/>
    <n v="63"/>
    <n v="1"/>
    <s v="EMP-"/>
    <n v="12"/>
    <s v="Inactive"/>
  </r>
  <r>
    <s v="EMP-64"/>
    <x v="9"/>
    <s v="Human Resources"/>
    <s v="Speciality Products"/>
    <s v="Male"/>
    <n v="45"/>
    <s v="45-55"/>
    <d v="2013-08-07T00:00:00"/>
    <n v="236946"/>
    <n v="0.37"/>
    <n v="324616.02"/>
    <s v="United States"/>
    <s v="Seattle"/>
    <m/>
    <n v="64"/>
    <n v="0"/>
    <s v="EMP-"/>
    <n v="12"/>
    <s v="Active"/>
  </r>
  <r>
    <s v="EMP-65"/>
    <x v="7"/>
    <s v="Finance"/>
    <s v="Corporate"/>
    <s v="Female"/>
    <n v="36"/>
    <s v="35-45"/>
    <d v="2021-08-27T00:00:00"/>
    <n v="48906"/>
    <n v="0"/>
    <n v="48906"/>
    <s v="United States"/>
    <s v="Miami"/>
    <m/>
    <n v="65"/>
    <n v="0"/>
    <s v="EMP-"/>
    <n v="4"/>
    <s v="Active"/>
  </r>
  <r>
    <s v="EMP-66"/>
    <x v="4"/>
    <s v="Sales"/>
    <s v="Corporate"/>
    <s v="Female"/>
    <n v="38"/>
    <s v="35-45"/>
    <d v="2008-01-27T00:00:00"/>
    <n v="80024"/>
    <n v="0"/>
    <n v="80024"/>
    <s v="United States"/>
    <s v="Columbus"/>
    <m/>
    <n v="66"/>
    <n v="0"/>
    <s v="EMP-"/>
    <n v="18"/>
    <s v="Active"/>
  </r>
  <r>
    <s v="EMP-67"/>
    <x v="16"/>
    <s v="Human Resources"/>
    <s v="Speciality Products"/>
    <s v="Female"/>
    <n v="41"/>
    <s v="35-45"/>
    <d v="2009-10-23T00:00:00"/>
    <n v="54415"/>
    <n v="0"/>
    <n v="54415"/>
    <s v="United States"/>
    <s v="Seattle"/>
    <d v="2014-01-22T00:00:00"/>
    <n v="67"/>
    <n v="1"/>
    <s v="EMP-"/>
    <n v="4"/>
    <s v="Inactive"/>
  </r>
  <r>
    <s v="EMP-68"/>
    <x v="6"/>
    <s v="Marketing"/>
    <s v="Research &amp; Development"/>
    <s v="Female"/>
    <n v="30"/>
    <s v="25-35"/>
    <d v="2016-04-24T00:00:00"/>
    <n v="120341"/>
    <n v="7.0000000000000007E-2"/>
    <n v="128764.87"/>
    <s v="United States"/>
    <s v="Seattle"/>
    <m/>
    <n v="68"/>
    <n v="0"/>
    <s v="EMP-"/>
    <n v="9"/>
    <s v="Active"/>
  </r>
  <r>
    <s v="EMP-69"/>
    <x v="9"/>
    <s v="IT"/>
    <s v="Speciality Products"/>
    <s v="Female"/>
    <n v="43"/>
    <s v="35-45"/>
    <d v="2009-08-04T00:00:00"/>
    <n v="208415"/>
    <n v="0.35"/>
    <n v="281360.25"/>
    <s v="United States"/>
    <s v="Seattle"/>
    <m/>
    <n v="69"/>
    <n v="0"/>
    <s v="EMP-"/>
    <n v="16"/>
    <s v="Active"/>
  </r>
  <r>
    <s v="EMP-70"/>
    <x v="21"/>
    <s v="IT"/>
    <s v="Speciality Products"/>
    <s v="Female"/>
    <n v="32"/>
    <s v="25-35"/>
    <d v="2020-01-05T00:00:00"/>
    <n v="78844"/>
    <n v="0"/>
    <n v="78844"/>
    <s v="United States"/>
    <s v="Seattle"/>
    <m/>
    <n v="70"/>
    <n v="0"/>
    <s v="EMP-"/>
    <n v="6"/>
    <s v="Active"/>
  </r>
  <r>
    <s v="EMP-71"/>
    <x v="17"/>
    <s v="Engineering"/>
    <s v="Manufacturing"/>
    <s v="Male"/>
    <n v="58"/>
    <s v="55-65"/>
    <d v="2002-05-23T00:00:00"/>
    <n v="76354"/>
    <n v="0"/>
    <n v="76354"/>
    <s v="United States"/>
    <s v="Phoenix"/>
    <d v="2021-09-26T00:00:00"/>
    <n v="71"/>
    <n v="1"/>
    <s v="EMP-"/>
    <n v="19"/>
    <s v="Inactive"/>
  </r>
  <r>
    <s v="EMP-72"/>
    <x v="2"/>
    <s v="Finance"/>
    <s v="Speciality Products"/>
    <s v="Female"/>
    <n v="37"/>
    <s v="35-45"/>
    <d v="2019-01-28T00:00:00"/>
    <n v="165927"/>
    <n v="0.2"/>
    <n v="199112.4"/>
    <s v="United States"/>
    <s v="Phoenix"/>
    <m/>
    <n v="72"/>
    <n v="0"/>
    <s v="EMP-"/>
    <n v="7"/>
    <s v="Active"/>
  </r>
  <r>
    <s v="EMP-73"/>
    <x v="6"/>
    <s v="Accounting"/>
    <s v="Speciality Products"/>
    <s v="Female"/>
    <n v="38"/>
    <s v="35-45"/>
    <d v="2021-11-16T00:00:00"/>
    <n v="109812"/>
    <n v="0.09"/>
    <n v="119695.08"/>
    <s v="Brazil"/>
    <s v="Manaus"/>
    <m/>
    <n v="73"/>
    <n v="0"/>
    <s v="EMP-"/>
    <n v="4"/>
    <s v="Active"/>
  </r>
  <r>
    <s v="EMP-74"/>
    <x v="8"/>
    <s v="Engineering"/>
    <s v="Corporate"/>
    <s v="Male"/>
    <n v="55"/>
    <s v="55-65"/>
    <d v="1998-09-03T00:00:00"/>
    <n v="86299"/>
    <n v="0"/>
    <n v="86299"/>
    <s v="United States"/>
    <s v="Seattle"/>
    <m/>
    <n v="74"/>
    <n v="0"/>
    <s v="EMP-"/>
    <n v="27"/>
    <s v="Active"/>
  </r>
  <r>
    <s v="EMP-75"/>
    <x v="9"/>
    <s v="Marketing"/>
    <s v="Research &amp; Development"/>
    <s v="Male"/>
    <n v="57"/>
    <s v="55-65"/>
    <d v="2003-07-26T00:00:00"/>
    <n v="206624"/>
    <n v="0.4"/>
    <n v="289273.59999999998"/>
    <s v="Brazil"/>
    <s v="Sao Paulo"/>
    <m/>
    <n v="75"/>
    <n v="0"/>
    <s v="EMP-"/>
    <n v="22"/>
    <s v="Active"/>
  </r>
  <r>
    <s v="EMP-76"/>
    <x v="12"/>
    <s v="IT"/>
    <s v="Manufacturing"/>
    <s v="Male"/>
    <n v="36"/>
    <s v="35-45"/>
    <d v="2010-12-23T00:00:00"/>
    <n v="53215"/>
    <n v="0"/>
    <n v="53215"/>
    <s v="Brazil"/>
    <s v="Sao Paulo"/>
    <d v="2014-03-27T00:00:00"/>
    <n v="76"/>
    <n v="1"/>
    <s v="EMP-"/>
    <n v="3"/>
    <s v="Inactive"/>
  </r>
  <r>
    <s v="EMP-77"/>
    <x v="22"/>
    <s v="Engineering"/>
    <s v="Research &amp; Development"/>
    <s v="Female"/>
    <n v="30"/>
    <s v="25-35"/>
    <d v="2017-05-22T00:00:00"/>
    <n v="86858"/>
    <n v="0"/>
    <n v="86858"/>
    <s v="China"/>
    <s v="Chongqing"/>
    <d v="2017-10-08T00:00:00"/>
    <n v="77"/>
    <n v="1"/>
    <s v="EMP-"/>
    <n v="0"/>
    <s v="Inactive"/>
  </r>
  <r>
    <s v="EMP-78"/>
    <x v="3"/>
    <s v="IT"/>
    <s v="Manufacturing"/>
    <s v="Male"/>
    <n v="40"/>
    <s v="35-45"/>
    <d v="2007-07-02T00:00:00"/>
    <n v="93971"/>
    <n v="0.08"/>
    <n v="101488.68"/>
    <s v="China"/>
    <s v="Chongqing"/>
    <m/>
    <n v="78"/>
    <n v="0"/>
    <s v="EMP-"/>
    <n v="18"/>
    <s v="Active"/>
  </r>
  <r>
    <s v="EMP-79"/>
    <x v="13"/>
    <s v="Finance"/>
    <s v="Corporate"/>
    <s v="Male"/>
    <n v="34"/>
    <s v="25-35"/>
    <d v="2015-06-27T00:00:00"/>
    <n v="57008"/>
    <n v="0"/>
    <n v="57008"/>
    <s v="United States"/>
    <s v="Phoenix"/>
    <m/>
    <n v="79"/>
    <n v="0"/>
    <s v="EMP-"/>
    <n v="10"/>
    <s v="Active"/>
  </r>
  <r>
    <s v="EMP-80"/>
    <x v="0"/>
    <s v="Finance"/>
    <s v="Manufacturing"/>
    <s v="Male"/>
    <n v="60"/>
    <s v="55-65"/>
    <d v="2015-09-23T00:00:00"/>
    <n v="141899"/>
    <n v="0.15"/>
    <n v="163183.85"/>
    <s v="United States"/>
    <s v="Phoenix"/>
    <m/>
    <n v="80"/>
    <n v="0"/>
    <s v="EMP-"/>
    <n v="10"/>
    <s v="Active"/>
  </r>
  <r>
    <s v="EMP-81"/>
    <x v="13"/>
    <s v="Marketing"/>
    <s v="Corporate"/>
    <s v="Male"/>
    <n v="41"/>
    <s v="35-45"/>
    <d v="2016-09-13T00:00:00"/>
    <n v="64847"/>
    <n v="0"/>
    <n v="64847"/>
    <s v="United States"/>
    <s v="Miami"/>
    <m/>
    <n v="81"/>
    <n v="0"/>
    <s v="EMP-"/>
    <n v="9"/>
    <s v="Active"/>
  </r>
  <r>
    <s v="EMP-82"/>
    <x v="11"/>
    <s v="Engineering"/>
    <s v="Research &amp; Development"/>
    <s v="Male"/>
    <n v="53"/>
    <s v="45-55"/>
    <d v="1992-04-08T00:00:00"/>
    <n v="116878"/>
    <n v="0.11"/>
    <n v="129734.58"/>
    <s v="United States"/>
    <s v="Miami"/>
    <m/>
    <n v="82"/>
    <n v="0"/>
    <s v="EMP-"/>
    <n v="33"/>
    <s v="Active"/>
  </r>
  <r>
    <s v="EMP-83"/>
    <x v="10"/>
    <s v="Engineering"/>
    <s v="Speciality Products"/>
    <s v="Male"/>
    <n v="45"/>
    <s v="45-55"/>
    <d v="2005-02-05T00:00:00"/>
    <n v="70505"/>
    <n v="0"/>
    <n v="70505"/>
    <s v="United States"/>
    <s v="Austin"/>
    <m/>
    <n v="83"/>
    <n v="0"/>
    <s v="EMP-"/>
    <n v="21"/>
    <s v="Active"/>
  </r>
  <r>
    <s v="EMP-84"/>
    <x v="2"/>
    <s v="Engineering"/>
    <s v="Research &amp; Development"/>
    <s v="Female"/>
    <n v="30"/>
    <s v="25-35"/>
    <d v="2016-05-22T00:00:00"/>
    <n v="189702"/>
    <n v="0.28000000000000003"/>
    <n v="242818.56"/>
    <s v="Brazil"/>
    <s v="Manaus"/>
    <d v="2020-12-21T00:00:00"/>
    <n v="84"/>
    <n v="1"/>
    <s v="EMP-"/>
    <n v="4"/>
    <s v="Inactive"/>
  </r>
  <r>
    <s v="EMP-85"/>
    <x v="2"/>
    <s v="Accounting"/>
    <s v="Speciality Products"/>
    <s v="Male"/>
    <n v="26"/>
    <s v="25-35"/>
    <d v="2020-07-28T00:00:00"/>
    <n v="180664"/>
    <n v="0.27"/>
    <n v="229443.28"/>
    <s v="United States"/>
    <s v="Chicago"/>
    <m/>
    <n v="85"/>
    <n v="0"/>
    <s v="EMP-"/>
    <n v="5"/>
    <s v="Active"/>
  </r>
  <r>
    <s v="EMP-86"/>
    <x v="20"/>
    <s v="Human Resources"/>
    <s v="Manufacturing"/>
    <s v="Female"/>
    <n v="45"/>
    <s v="45-55"/>
    <d v="2003-12-17T00:00:00"/>
    <n v="48345"/>
    <n v="0"/>
    <n v="48345"/>
    <s v="China"/>
    <s v="Chengdu"/>
    <m/>
    <n v="86"/>
    <n v="0"/>
    <s v="EMP-"/>
    <n v="22"/>
    <s v="Active"/>
  </r>
  <r>
    <s v="EMP-87"/>
    <x v="2"/>
    <s v="Human Resources"/>
    <s v="Manufacturing"/>
    <s v="Male"/>
    <n v="42"/>
    <s v="35-45"/>
    <d v="2014-01-16T00:00:00"/>
    <n v="152214"/>
    <n v="0.3"/>
    <n v="197878.2"/>
    <s v="China"/>
    <s v="Beijing"/>
    <m/>
    <n v="87"/>
    <n v="0"/>
    <s v="EMP-"/>
    <n v="12"/>
    <s v="Active"/>
  </r>
  <r>
    <s v="EMP-88"/>
    <x v="21"/>
    <s v="IT"/>
    <s v="Corporate"/>
    <s v="Female"/>
    <n v="41"/>
    <s v="35-45"/>
    <d v="2009-04-28T00:00:00"/>
    <n v="69803"/>
    <n v="0"/>
    <n v="69803"/>
    <s v="Brazil"/>
    <s v="Manaus"/>
    <m/>
    <n v="88"/>
    <n v="0"/>
    <s v="EMP-"/>
    <n v="16"/>
    <s v="Active"/>
  </r>
  <r>
    <s v="EMP-89"/>
    <x v="23"/>
    <s v="IT"/>
    <s v="Corporate"/>
    <s v="Female"/>
    <n v="48"/>
    <s v="45-55"/>
    <d v="2019-07-04T00:00:00"/>
    <n v="76588"/>
    <n v="0"/>
    <n v="76588"/>
    <s v="Brazil"/>
    <s v="Rio de Janerio"/>
    <m/>
    <n v="89"/>
    <n v="0"/>
    <s v="EMP-"/>
    <n v="6"/>
    <s v="Active"/>
  </r>
  <r>
    <s v="EMP-90"/>
    <x v="24"/>
    <s v="IT"/>
    <s v="Manufacturing"/>
    <s v="Male"/>
    <n v="29"/>
    <s v="25-35"/>
    <d v="2018-12-10T00:00:00"/>
    <n v="84596"/>
    <n v="0"/>
    <n v="84596"/>
    <s v="United States"/>
    <s v="Miami"/>
    <m/>
    <n v="90"/>
    <n v="0"/>
    <s v="EMP-"/>
    <n v="7"/>
    <s v="Active"/>
  </r>
  <r>
    <s v="EMP-91"/>
    <x v="6"/>
    <s v="Marketing"/>
    <s v="Research &amp; Development"/>
    <s v="Male"/>
    <n v="27"/>
    <s v="25-35"/>
    <d v="2018-09-25T00:00:00"/>
    <n v="114441"/>
    <n v="0.1"/>
    <n v="125885.1"/>
    <s v="China"/>
    <s v="Chongqing"/>
    <d v="2019-12-22T00:00:00"/>
    <n v="91"/>
    <n v="1"/>
    <s v="EMP-"/>
    <n v="1"/>
    <s v="Inactive"/>
  </r>
  <r>
    <s v="EMP-92"/>
    <x v="0"/>
    <s v="Finance"/>
    <s v="Speciality Products"/>
    <s v="Female"/>
    <n v="33"/>
    <s v="25-35"/>
    <d v="2018-04-21T00:00:00"/>
    <n v="140402"/>
    <n v="0.15"/>
    <n v="161462.29999999999"/>
    <s v="China"/>
    <s v="Beijing"/>
    <m/>
    <n v="92"/>
    <n v="0"/>
    <s v="EMP-"/>
    <n v="7"/>
    <s v="Active"/>
  </r>
  <r>
    <s v="EMP-93"/>
    <x v="13"/>
    <s v="Finance"/>
    <s v="Corporate"/>
    <s v="Female"/>
    <n v="26"/>
    <s v="25-35"/>
    <d v="2019-04-23T00:00:00"/>
    <n v="59817"/>
    <n v="0"/>
    <n v="59817"/>
    <s v="Brazil"/>
    <s v="Sao Paulo"/>
    <m/>
    <n v="93"/>
    <n v="0"/>
    <s v="EMP-"/>
    <n v="6"/>
    <s v="Active"/>
  </r>
  <r>
    <s v="EMP-94"/>
    <x v="5"/>
    <s v="Sales"/>
    <s v="Manufacturing"/>
    <s v="Male"/>
    <n v="31"/>
    <s v="25-35"/>
    <d v="2017-07-22T00:00:00"/>
    <n v="55854"/>
    <n v="0"/>
    <n v="55854"/>
    <s v="United States"/>
    <s v="Austin"/>
    <m/>
    <n v="94"/>
    <n v="0"/>
    <s v="EMP-"/>
    <n v="8"/>
    <s v="Active"/>
  </r>
  <r>
    <s v="EMP-95"/>
    <x v="15"/>
    <s v="Human Resources"/>
    <s v="Research &amp; Development"/>
    <s v="Male"/>
    <n v="53"/>
    <s v="45-55"/>
    <d v="2002-11-16T00:00:00"/>
    <n v="95998"/>
    <n v="0"/>
    <n v="95998"/>
    <s v="United States"/>
    <s v="Seattle"/>
    <m/>
    <n v="95"/>
    <n v="0"/>
    <s v="EMP-"/>
    <n v="23"/>
    <s v="Active"/>
  </r>
  <r>
    <s v="EMP-96"/>
    <x v="0"/>
    <s v="Sales"/>
    <s v="Manufacturing"/>
    <s v="Female"/>
    <n v="34"/>
    <s v="25-35"/>
    <d v="2015-04-22T00:00:00"/>
    <n v="154941"/>
    <n v="0.13"/>
    <n v="175083.33000000002"/>
    <s v="United States"/>
    <s v="Phoenix"/>
    <m/>
    <n v="96"/>
    <n v="0"/>
    <s v="EMP-"/>
    <n v="10"/>
    <s v="Active"/>
  </r>
  <r>
    <s v="EMP-97"/>
    <x v="9"/>
    <s v="Finance"/>
    <s v="Speciality Products"/>
    <s v="Female"/>
    <n v="54"/>
    <s v="45-55"/>
    <d v="2011-07-10T00:00:00"/>
    <n v="247022"/>
    <n v="0.3"/>
    <n v="321128.59999999998"/>
    <s v="China"/>
    <s v="Beijing"/>
    <m/>
    <n v="97"/>
    <n v="0"/>
    <s v="EMP-"/>
    <n v="14"/>
    <s v="Active"/>
  </r>
  <r>
    <s v="EMP-98"/>
    <x v="23"/>
    <s v="IT"/>
    <s v="Manufacturing"/>
    <s v="Female"/>
    <n v="32"/>
    <s v="25-35"/>
    <d v="2021-10-05T00:00:00"/>
    <n v="88072"/>
    <n v="0"/>
    <n v="88072"/>
    <s v="Brazil"/>
    <s v="Sao Paulo"/>
    <m/>
    <n v="98"/>
    <n v="0"/>
    <s v="EMP-"/>
    <n v="4"/>
    <s v="Active"/>
  </r>
  <r>
    <s v="EMP-99"/>
    <x v="3"/>
    <s v="IT"/>
    <s v="Research &amp; Development"/>
    <s v="Male"/>
    <n v="28"/>
    <s v="25-35"/>
    <d v="2020-05-26T00:00:00"/>
    <n v="67925"/>
    <n v="0.08"/>
    <n v="73359"/>
    <s v="China"/>
    <s v="Shanghai"/>
    <m/>
    <n v="99"/>
    <n v="0"/>
    <s v="EMP-"/>
    <n v="5"/>
    <s v="Active"/>
  </r>
  <r>
    <s v="EMP-100"/>
    <x v="9"/>
    <s v="Sales"/>
    <s v="Manufacturing"/>
    <s v="Female"/>
    <n v="31"/>
    <s v="25-35"/>
    <d v="2020-08-20T00:00:00"/>
    <n v="219693"/>
    <n v="0.3"/>
    <n v="285600.90000000002"/>
    <s v="United States"/>
    <s v="Austin"/>
    <m/>
    <n v="100"/>
    <n v="0"/>
    <s v="EMP-"/>
    <n v="5"/>
    <s v="Active"/>
  </r>
  <r>
    <s v="EMP-101"/>
    <x v="22"/>
    <s v="Engineering"/>
    <s v="Research &amp; Development"/>
    <s v="Female"/>
    <n v="45"/>
    <s v="45-55"/>
    <d v="2013-04-22T00:00:00"/>
    <n v="61773"/>
    <n v="0"/>
    <n v="61773"/>
    <s v="United States"/>
    <s v="Seattle"/>
    <m/>
    <n v="101"/>
    <n v="0"/>
    <s v="EMP-"/>
    <n v="12"/>
    <s v="Active"/>
  </r>
  <r>
    <s v="EMP-102"/>
    <x v="3"/>
    <s v="IT"/>
    <s v="Speciality Products"/>
    <s v="Female"/>
    <n v="48"/>
    <s v="45-55"/>
    <d v="2007-01-09T00:00:00"/>
    <n v="74546"/>
    <n v="0.09"/>
    <n v="81255.14"/>
    <s v="United States"/>
    <s v="Seattle"/>
    <m/>
    <n v="102"/>
    <n v="0"/>
    <s v="EMP-"/>
    <n v="19"/>
    <s v="Active"/>
  </r>
  <r>
    <s v="EMP-103"/>
    <x v="25"/>
    <s v="Engineering"/>
    <s v="Speciality Products"/>
    <s v="Male"/>
    <n v="56"/>
    <s v="55-65"/>
    <d v="2015-01-27T00:00:00"/>
    <n v="62575"/>
    <n v="0"/>
    <n v="62575"/>
    <s v="United States"/>
    <s v="Miami"/>
    <m/>
    <n v="103"/>
    <n v="0"/>
    <s v="EMP-"/>
    <n v="11"/>
    <s v="Active"/>
  </r>
  <r>
    <s v="EMP-104"/>
    <x v="2"/>
    <s v="Human Resources"/>
    <s v="Corporate"/>
    <s v="Female"/>
    <n v="27"/>
    <s v="25-35"/>
    <d v="2021-02-23T00:00:00"/>
    <n v="199041"/>
    <n v="0.16"/>
    <n v="230887.56"/>
    <s v="China"/>
    <s v="Beijing"/>
    <m/>
    <n v="104"/>
    <n v="0"/>
    <s v="EMP-"/>
    <n v="5"/>
    <s v="Active"/>
  </r>
  <r>
    <s v="EMP-105"/>
    <x v="13"/>
    <s v="Accounting"/>
    <s v="Speciality Products"/>
    <s v="Male"/>
    <n v="55"/>
    <s v="55-65"/>
    <d v="2007-04-05T00:00:00"/>
    <n v="52310"/>
    <n v="0"/>
    <n v="52310"/>
    <s v="United States"/>
    <s v="Miami"/>
    <d v="2018-10-12T00:00:00"/>
    <n v="105"/>
    <n v="1"/>
    <s v="EMP-"/>
    <n v="11"/>
    <s v="Inactive"/>
  </r>
  <r>
    <s v="EMP-106"/>
    <x v="0"/>
    <s v="Finance"/>
    <s v="Speciality Products"/>
    <s v="Male"/>
    <n v="64"/>
    <s v="55-65"/>
    <d v="2013-06-29T00:00:00"/>
    <n v="159571"/>
    <n v="0.1"/>
    <n v="175528.1"/>
    <s v="United States"/>
    <s v="Columbus"/>
    <m/>
    <n v="106"/>
    <n v="0"/>
    <s v="EMP-"/>
    <n v="12"/>
    <s v="Active"/>
  </r>
  <r>
    <s v="EMP-107"/>
    <x v="17"/>
    <s v="Engineering"/>
    <s v="Research &amp; Development"/>
    <s v="Female"/>
    <n v="50"/>
    <s v="45-55"/>
    <d v="1997-10-23T00:00:00"/>
    <n v="91763"/>
    <n v="0"/>
    <n v="91763"/>
    <s v="United States"/>
    <s v="Austin"/>
    <m/>
    <n v="107"/>
    <n v="0"/>
    <s v="EMP-"/>
    <n v="28"/>
    <s v="Active"/>
  </r>
  <r>
    <s v="EMP-108"/>
    <x v="25"/>
    <s v="Engineering"/>
    <s v="Corporate"/>
    <s v="Female"/>
    <n v="51"/>
    <s v="45-55"/>
    <d v="1995-12-22T00:00:00"/>
    <n v="96475"/>
    <n v="0"/>
    <n v="96475"/>
    <s v="United States"/>
    <s v="Austin"/>
    <m/>
    <n v="108"/>
    <n v="0"/>
    <s v="EMP-"/>
    <n v="30"/>
    <s v="Active"/>
  </r>
  <r>
    <s v="EMP-109"/>
    <x v="8"/>
    <s v="Engineering"/>
    <s v="Manufacturing"/>
    <s v="Male"/>
    <n v="36"/>
    <s v="35-45"/>
    <d v="2016-12-02T00:00:00"/>
    <n v="113781"/>
    <n v="0"/>
    <n v="113781"/>
    <s v="United States"/>
    <s v="Columbus"/>
    <m/>
    <n v="109"/>
    <n v="0"/>
    <s v="EMP-"/>
    <n v="9"/>
    <s v="Active"/>
  </r>
  <r>
    <s v="EMP-110"/>
    <x v="2"/>
    <s v="Finance"/>
    <s v="Research &amp; Development"/>
    <s v="Male"/>
    <n v="42"/>
    <s v="35-45"/>
    <d v="2003-01-15T00:00:00"/>
    <n v="166599"/>
    <n v="0.26"/>
    <n v="209914.74"/>
    <s v="United States"/>
    <s v="Seattle"/>
    <m/>
    <n v="110"/>
    <n v="0"/>
    <s v="EMP-"/>
    <n v="23"/>
    <s v="Active"/>
  </r>
  <r>
    <s v="EMP-111"/>
    <x v="26"/>
    <s v="Sales"/>
    <s v="Corporate"/>
    <s v="Female"/>
    <n v="41"/>
    <s v="35-45"/>
    <d v="2005-02-15T00:00:00"/>
    <n v="95372"/>
    <n v="0"/>
    <n v="95372"/>
    <s v="China"/>
    <s v="Shanghai"/>
    <m/>
    <n v="111"/>
    <n v="0"/>
    <s v="EMP-"/>
    <n v="21"/>
    <s v="Active"/>
  </r>
  <r>
    <s v="EMP-112"/>
    <x v="2"/>
    <s v="IT"/>
    <s v="Research &amp; Development"/>
    <s v="Female"/>
    <n v="29"/>
    <s v="25-35"/>
    <d v="2020-08-09T00:00:00"/>
    <n v="161203"/>
    <n v="0.15"/>
    <n v="185383.45"/>
    <s v="China"/>
    <s v="Chengdu"/>
    <m/>
    <n v="112"/>
    <n v="0"/>
    <s v="EMP-"/>
    <n v="5"/>
    <s v="Active"/>
  </r>
  <r>
    <s v="EMP-113"/>
    <x v="27"/>
    <s v="IT"/>
    <s v="Manufacturing"/>
    <s v="Female"/>
    <n v="44"/>
    <s v="35-45"/>
    <d v="2006-12-13T00:00:00"/>
    <n v="74738"/>
    <n v="0"/>
    <n v="74738"/>
    <s v="United States"/>
    <s v="Miami"/>
    <m/>
    <n v="113"/>
    <n v="0"/>
    <s v="EMP-"/>
    <n v="19"/>
    <s v="Active"/>
  </r>
  <r>
    <s v="EMP-114"/>
    <x v="2"/>
    <s v="Sales"/>
    <s v="Research &amp; Development"/>
    <s v="Female"/>
    <n v="41"/>
    <s v="35-45"/>
    <d v="2018-08-10T00:00:00"/>
    <n v="171173"/>
    <n v="0.21"/>
    <n v="207119.33000000002"/>
    <s v="United States"/>
    <s v="Columbus"/>
    <m/>
    <n v="114"/>
    <n v="0"/>
    <s v="EMP-"/>
    <n v="7"/>
    <s v="Active"/>
  </r>
  <r>
    <s v="EMP-115"/>
    <x v="9"/>
    <s v="Sales"/>
    <s v="Corporate"/>
    <s v="Male"/>
    <n v="61"/>
    <s v="55-65"/>
    <d v="2019-09-24T00:00:00"/>
    <n v="201464"/>
    <n v="0.37"/>
    <n v="276005.68"/>
    <s v="United States"/>
    <s v="Chicago"/>
    <m/>
    <n v="115"/>
    <n v="0"/>
    <s v="EMP-"/>
    <n v="6"/>
    <s v="Active"/>
  </r>
  <r>
    <s v="EMP-116"/>
    <x v="2"/>
    <s v="Human Resources"/>
    <s v="Corporate"/>
    <s v="Male"/>
    <n v="50"/>
    <s v="45-55"/>
    <d v="1998-07-22T00:00:00"/>
    <n v="174895"/>
    <n v="0.15"/>
    <n v="201129.25"/>
    <s v="United States"/>
    <s v="Chicago"/>
    <m/>
    <n v="116"/>
    <n v="0"/>
    <s v="EMP-"/>
    <n v="27"/>
    <s v="Active"/>
  </r>
  <r>
    <s v="EMP-117"/>
    <x v="0"/>
    <s v="IT"/>
    <s v="Manufacturing"/>
    <s v="Female"/>
    <n v="49"/>
    <s v="45-55"/>
    <d v="2006-04-18T00:00:00"/>
    <n v="134486"/>
    <n v="0.14000000000000001"/>
    <n v="153314.04"/>
    <s v="United States"/>
    <s v="Austin"/>
    <m/>
    <n v="117"/>
    <n v="0"/>
    <s v="EMP-"/>
    <n v="19"/>
    <s v="Active"/>
  </r>
  <r>
    <s v="EMP-118"/>
    <x v="4"/>
    <s v="Finance"/>
    <s v="Manufacturing"/>
    <s v="Female"/>
    <n v="60"/>
    <s v="55-65"/>
    <d v="2007-02-24T00:00:00"/>
    <n v="71699"/>
    <n v="0"/>
    <n v="71699"/>
    <s v="Brazil"/>
    <s v="Manaus"/>
    <m/>
    <n v="118"/>
    <n v="0"/>
    <s v="EMP-"/>
    <n v="19"/>
    <s v="Active"/>
  </r>
  <r>
    <s v="EMP-119"/>
    <x v="4"/>
    <s v="Marketing"/>
    <s v="Corporate"/>
    <s v="Female"/>
    <n v="42"/>
    <s v="35-45"/>
    <d v="2021-01-02T00:00:00"/>
    <n v="94430"/>
    <n v="0"/>
    <n v="94430"/>
    <s v="United States"/>
    <s v="Seattle"/>
    <m/>
    <n v="119"/>
    <n v="0"/>
    <s v="EMP-"/>
    <n v="5"/>
    <s v="Active"/>
  </r>
  <r>
    <s v="EMP-120"/>
    <x v="6"/>
    <s v="Finance"/>
    <s v="Corporate"/>
    <s v="Male"/>
    <n v="39"/>
    <s v="35-45"/>
    <d v="2010-01-14T00:00:00"/>
    <n v="103504"/>
    <n v="7.0000000000000007E-2"/>
    <n v="110749.28"/>
    <s v="China"/>
    <s v="Chengdu"/>
    <m/>
    <n v="120"/>
    <n v="0"/>
    <s v="EMP-"/>
    <n v="16"/>
    <s v="Active"/>
  </r>
  <r>
    <s v="EMP-121"/>
    <x v="14"/>
    <s v="IT"/>
    <s v="Manufacturing"/>
    <s v="Female"/>
    <n v="55"/>
    <s v="55-65"/>
    <d v="2005-08-09T00:00:00"/>
    <n v="92771"/>
    <n v="0"/>
    <n v="92771"/>
    <s v="United States"/>
    <s v="Miami"/>
    <m/>
    <n v="121"/>
    <n v="0"/>
    <s v="EMP-"/>
    <n v="20"/>
    <s v="Active"/>
  </r>
  <r>
    <s v="EMP-122"/>
    <x v="13"/>
    <s v="Finance"/>
    <s v="Speciality Products"/>
    <s v="Female"/>
    <n v="39"/>
    <s v="35-45"/>
    <d v="2006-04-06T00:00:00"/>
    <n v="71531"/>
    <n v="0"/>
    <n v="71531"/>
    <s v="United States"/>
    <s v="Columbus"/>
    <m/>
    <n v="122"/>
    <n v="0"/>
    <s v="EMP-"/>
    <n v="19"/>
    <s v="Active"/>
  </r>
  <r>
    <s v="EMP-123"/>
    <x v="21"/>
    <s v="IT"/>
    <s v="Speciality Products"/>
    <s v="Male"/>
    <n v="28"/>
    <s v="25-35"/>
    <d v="2019-03-06T00:00:00"/>
    <n v="90304"/>
    <n v="0"/>
    <n v="90304"/>
    <s v="United States"/>
    <s v="Chicago"/>
    <m/>
    <n v="123"/>
    <n v="0"/>
    <s v="EMP-"/>
    <n v="7"/>
    <s v="Active"/>
  </r>
  <r>
    <s v="EMP-124"/>
    <x v="6"/>
    <s v="Marketing"/>
    <s v="Manufacturing"/>
    <s v="Female"/>
    <n v="65"/>
    <s v="65-100"/>
    <d v="2011-09-07T00:00:00"/>
    <n v="104903"/>
    <n v="0.1"/>
    <n v="115393.3"/>
    <s v="United States"/>
    <s v="Columbus"/>
    <m/>
    <n v="124"/>
    <n v="0"/>
    <s v="EMP-"/>
    <n v="14"/>
    <s v="Active"/>
  </r>
  <r>
    <s v="EMP-125"/>
    <x v="7"/>
    <s v="Finance"/>
    <s v="Corporate"/>
    <s v="Female"/>
    <n v="52"/>
    <s v="45-55"/>
    <d v="2019-02-19T00:00:00"/>
    <n v="55859"/>
    <n v="0"/>
    <n v="55859"/>
    <s v="China"/>
    <s v="Beijing"/>
    <m/>
    <n v="125"/>
    <n v="0"/>
    <s v="EMP-"/>
    <n v="7"/>
    <s v="Active"/>
  </r>
  <r>
    <s v="EMP-126"/>
    <x v="19"/>
    <s v="Engineering"/>
    <s v="Corporate"/>
    <s v="Female"/>
    <n v="62"/>
    <s v="55-65"/>
    <d v="2006-10-12T00:00:00"/>
    <n v="79785"/>
    <n v="0"/>
    <n v="79785"/>
    <s v="United States"/>
    <s v="Austin"/>
    <m/>
    <n v="126"/>
    <n v="0"/>
    <s v="EMP-"/>
    <n v="19"/>
    <s v="Active"/>
  </r>
  <r>
    <s v="EMP-127"/>
    <x v="4"/>
    <s v="Marketing"/>
    <s v="Corporate"/>
    <s v="Female"/>
    <n v="39"/>
    <s v="35-45"/>
    <d v="2007-11-05T00:00:00"/>
    <n v="99017"/>
    <n v="0"/>
    <n v="99017"/>
    <s v="China"/>
    <s v="Beijing"/>
    <m/>
    <n v="127"/>
    <n v="0"/>
    <s v="EMP-"/>
    <n v="18"/>
    <s v="Active"/>
  </r>
  <r>
    <s v="EMP-128"/>
    <x v="28"/>
    <s v="IT"/>
    <s v="Manufacturing"/>
    <s v="Female"/>
    <n v="63"/>
    <s v="55-65"/>
    <d v="1992-04-01T00:00:00"/>
    <n v="53809"/>
    <n v="0"/>
    <n v="53809"/>
    <s v="United States"/>
    <s v="Phoenix"/>
    <m/>
    <n v="128"/>
    <n v="0"/>
    <s v="EMP-"/>
    <n v="33"/>
    <s v="Active"/>
  </r>
  <r>
    <s v="EMP-129"/>
    <x v="17"/>
    <s v="Engineering"/>
    <s v="Speciality Products"/>
    <s v="Male"/>
    <n v="27"/>
    <s v="25-35"/>
    <d v="2020-04-16T00:00:00"/>
    <n v="71864"/>
    <n v="0"/>
    <n v="71864"/>
    <s v="China"/>
    <s v="Chengdu"/>
    <m/>
    <n v="129"/>
    <n v="0"/>
    <s v="EMP-"/>
    <n v="5"/>
    <s v="Active"/>
  </r>
  <r>
    <s v="EMP-130"/>
    <x v="9"/>
    <s v="Finance"/>
    <s v="Corporate"/>
    <s v="Female"/>
    <n v="37"/>
    <s v="35-45"/>
    <d v="2011-12-06T00:00:00"/>
    <n v="225558"/>
    <n v="0.33"/>
    <n v="299992.14"/>
    <s v="China"/>
    <s v="Shanghai"/>
    <m/>
    <n v="130"/>
    <n v="0"/>
    <s v="EMP-"/>
    <n v="14"/>
    <s v="Active"/>
  </r>
  <r>
    <s v="EMP-131"/>
    <x v="0"/>
    <s v="IT"/>
    <s v="Manufacturing"/>
    <s v="Male"/>
    <n v="37"/>
    <s v="35-45"/>
    <d v="2014-02-25T00:00:00"/>
    <n v="128984"/>
    <n v="0.12"/>
    <n v="144462.07999999999"/>
    <s v="United States"/>
    <s v="Miami"/>
    <d v="2021-05-01T00:00:00"/>
    <n v="131"/>
    <n v="1"/>
    <s v="EMP-"/>
    <n v="7"/>
    <s v="Inactive"/>
  </r>
  <r>
    <s v="EMP-132"/>
    <x v="17"/>
    <s v="Engineering"/>
    <s v="Speciality Products"/>
    <s v="Male"/>
    <n v="46"/>
    <s v="45-55"/>
    <d v="1999-06-20T00:00:00"/>
    <n v="96997"/>
    <n v="0"/>
    <n v="96997"/>
    <s v="Brazil"/>
    <s v="Sao Paulo"/>
    <m/>
    <n v="132"/>
    <n v="0"/>
    <s v="EMP-"/>
    <n v="26"/>
    <s v="Active"/>
  </r>
  <r>
    <s v="EMP-133"/>
    <x v="2"/>
    <s v="Human Resources"/>
    <s v="Manufacturing"/>
    <s v="Female"/>
    <n v="54"/>
    <s v="45-55"/>
    <d v="2018-01-22T00:00:00"/>
    <n v="176294"/>
    <n v="0.28000000000000003"/>
    <n v="225656.32000000001"/>
    <s v="United States"/>
    <s v="Austin"/>
    <m/>
    <n v="133"/>
    <n v="0"/>
    <s v="EMP-"/>
    <n v="8"/>
    <s v="Active"/>
  </r>
  <r>
    <s v="EMP-134"/>
    <x v="7"/>
    <s v="Sales"/>
    <s v="Research &amp; Development"/>
    <s v="Female"/>
    <n v="30"/>
    <s v="25-35"/>
    <d v="2021-02-14T00:00:00"/>
    <n v="48340"/>
    <n v="0"/>
    <n v="48340"/>
    <s v="China"/>
    <s v="Beijing"/>
    <m/>
    <n v="134"/>
    <n v="0"/>
    <s v="EMP-"/>
    <n v="5"/>
    <s v="Active"/>
  </r>
  <r>
    <s v="EMP-135"/>
    <x v="9"/>
    <s v="Engineering"/>
    <s v="Corporate"/>
    <s v="Female"/>
    <n v="28"/>
    <s v="25-35"/>
    <d v="2017-07-06T00:00:00"/>
    <n v="240488"/>
    <n v="0.4"/>
    <n v="336683.2"/>
    <s v="Brazil"/>
    <s v="Rio de Janerio"/>
    <m/>
    <n v="135"/>
    <n v="0"/>
    <s v="EMP-"/>
    <n v="8"/>
    <s v="Active"/>
  </r>
  <r>
    <s v="EMP-136"/>
    <x v="14"/>
    <s v="IT"/>
    <s v="Manufacturing"/>
    <s v="Male"/>
    <n v="40"/>
    <s v="35-45"/>
    <d v="2011-01-22T00:00:00"/>
    <n v="97339"/>
    <n v="0"/>
    <n v="97339"/>
    <s v="United States"/>
    <s v="Austin"/>
    <m/>
    <n v="136"/>
    <n v="0"/>
    <s v="EMP-"/>
    <n v="15"/>
    <s v="Active"/>
  </r>
  <r>
    <s v="EMP-137"/>
    <x v="9"/>
    <s v="Human Resources"/>
    <s v="Manufacturing"/>
    <s v="Female"/>
    <n v="49"/>
    <s v="45-55"/>
    <d v="2003-02-28T00:00:00"/>
    <n v="211291"/>
    <n v="0.37"/>
    <n v="289468.67"/>
    <s v="China"/>
    <s v="Chongqing"/>
    <m/>
    <n v="137"/>
    <n v="0"/>
    <s v="EMP-"/>
    <n v="23"/>
    <s v="Active"/>
  </r>
  <r>
    <s v="EMP-138"/>
    <x v="9"/>
    <s v="Sales"/>
    <s v="Research &amp; Development"/>
    <s v="Male"/>
    <n v="39"/>
    <s v="35-45"/>
    <d v="2011-08-23T00:00:00"/>
    <n v="249506"/>
    <n v="0.3"/>
    <n v="324357.8"/>
    <s v="Brazil"/>
    <s v="Rio de Janerio"/>
    <m/>
    <n v="138"/>
    <n v="0"/>
    <s v="EMP-"/>
    <n v="14"/>
    <s v="Active"/>
  </r>
  <r>
    <s v="EMP-139"/>
    <x v="10"/>
    <s v="Engineering"/>
    <s v="Speciality Products"/>
    <s v="Male"/>
    <n v="61"/>
    <s v="55-65"/>
    <d v="2002-11-22T00:00:00"/>
    <n v="80950"/>
    <n v="0"/>
    <n v="80950"/>
    <s v="China"/>
    <s v="Chongqing"/>
    <m/>
    <n v="139"/>
    <n v="0"/>
    <s v="EMP-"/>
    <n v="23"/>
    <s v="Active"/>
  </r>
  <r>
    <s v="EMP-140"/>
    <x v="18"/>
    <s v="Engineering"/>
    <s v="Research &amp; Development"/>
    <s v="Female"/>
    <n v="46"/>
    <s v="45-55"/>
    <d v="2021-01-10T00:00:00"/>
    <n v="86538"/>
    <n v="0"/>
    <n v="86538"/>
    <s v="China"/>
    <s v="Chengdu"/>
    <m/>
    <n v="140"/>
    <n v="0"/>
    <s v="EMP-"/>
    <n v="5"/>
    <s v="Active"/>
  </r>
  <r>
    <s v="EMP-141"/>
    <x v="4"/>
    <s v="Marketing"/>
    <s v="Speciality Products"/>
    <s v="Female"/>
    <n v="35"/>
    <s v="35-45"/>
    <d v="2019-09-07T00:00:00"/>
    <n v="70992"/>
    <n v="0"/>
    <n v="70992"/>
    <s v="United States"/>
    <s v="Austin"/>
    <m/>
    <n v="141"/>
    <n v="0"/>
    <s v="EMP-"/>
    <n v="6"/>
    <s v="Active"/>
  </r>
  <r>
    <s v="EMP-142"/>
    <x v="9"/>
    <s v="Engineering"/>
    <s v="Corporate"/>
    <s v="Male"/>
    <n v="33"/>
    <s v="25-35"/>
    <d v="2015-06-18T00:00:00"/>
    <n v="205314"/>
    <n v="0.3"/>
    <n v="266908.2"/>
    <s v="United States"/>
    <s v="Columbus"/>
    <m/>
    <n v="142"/>
    <n v="0"/>
    <s v="EMP-"/>
    <n v="10"/>
    <s v="Active"/>
  </r>
  <r>
    <s v="EMP-143"/>
    <x v="9"/>
    <s v="Human Resources"/>
    <s v="Corporate"/>
    <s v="Female"/>
    <n v="61"/>
    <s v="55-65"/>
    <d v="2017-03-10T00:00:00"/>
    <n v="196951"/>
    <n v="0.33"/>
    <n v="261944.83000000002"/>
    <s v="China"/>
    <s v="Beijing"/>
    <m/>
    <n v="143"/>
    <n v="0"/>
    <s v="EMP-"/>
    <n v="9"/>
    <s v="Active"/>
  </r>
  <r>
    <s v="EMP-144"/>
    <x v="24"/>
    <s v="IT"/>
    <s v="Speciality Products"/>
    <s v="Male"/>
    <n v="45"/>
    <s v="45-55"/>
    <d v="2005-09-18T00:00:00"/>
    <n v="67686"/>
    <n v="0"/>
    <n v="67686"/>
    <s v="China"/>
    <s v="Beijing"/>
    <m/>
    <n v="144"/>
    <n v="0"/>
    <s v="EMP-"/>
    <n v="20"/>
    <s v="Active"/>
  </r>
  <r>
    <s v="EMP-145"/>
    <x v="1"/>
    <s v="IT"/>
    <s v="Research &amp; Development"/>
    <s v="Male"/>
    <n v="51"/>
    <s v="45-55"/>
    <d v="2008-04-15T00:00:00"/>
    <n v="86431"/>
    <n v="0"/>
    <n v="86431"/>
    <s v="United States"/>
    <s v="Columbus"/>
    <m/>
    <n v="145"/>
    <n v="0"/>
    <s v="EMP-"/>
    <n v="17"/>
    <s v="Active"/>
  </r>
  <r>
    <s v="EMP-146"/>
    <x v="6"/>
    <s v="Human Resources"/>
    <s v="Manufacturing"/>
    <s v="Male"/>
    <n v="55"/>
    <s v="55-65"/>
    <d v="1995-11-16T00:00:00"/>
    <n v="125936"/>
    <n v="0.08"/>
    <n v="136010.88"/>
    <s v="China"/>
    <s v="Chongqing"/>
    <m/>
    <n v="146"/>
    <n v="0"/>
    <s v="EMP-"/>
    <n v="30"/>
    <s v="Active"/>
  </r>
  <r>
    <s v="EMP-147"/>
    <x v="0"/>
    <s v="Sales"/>
    <s v="Corporate"/>
    <s v="Female"/>
    <n v="46"/>
    <s v="45-55"/>
    <d v="2013-07-18T00:00:00"/>
    <n v="149712"/>
    <n v="0.14000000000000001"/>
    <n v="170671.68"/>
    <s v="United States"/>
    <s v="Columbus"/>
    <m/>
    <n v="147"/>
    <n v="0"/>
    <s v="EMP-"/>
    <n v="12"/>
    <s v="Active"/>
  </r>
  <r>
    <s v="EMP-148"/>
    <x v="17"/>
    <s v="Engineering"/>
    <s v="Speciality Products"/>
    <s v="Male"/>
    <n v="30"/>
    <s v="25-35"/>
    <d v="2021-10-02T00:00:00"/>
    <n v="88758"/>
    <n v="0"/>
    <n v="88758"/>
    <s v="United States"/>
    <s v="Seattle"/>
    <m/>
    <n v="148"/>
    <n v="0"/>
    <s v="EMP-"/>
    <n v="4"/>
    <s v="Active"/>
  </r>
  <r>
    <s v="EMP-149"/>
    <x v="29"/>
    <s v="IT"/>
    <s v="Research &amp; Development"/>
    <s v="Male"/>
    <n v="54"/>
    <s v="45-55"/>
    <d v="2013-07-13T00:00:00"/>
    <n v="83639"/>
    <n v="0"/>
    <n v="83639"/>
    <s v="China"/>
    <s v="Beijing"/>
    <m/>
    <n v="149"/>
    <n v="0"/>
    <s v="EMP-"/>
    <n v="12"/>
    <s v="Active"/>
  </r>
  <r>
    <s v="EMP-150"/>
    <x v="23"/>
    <s v="IT"/>
    <s v="Research &amp; Development"/>
    <s v="Female"/>
    <n v="54"/>
    <s v="45-55"/>
    <d v="1998-05-18T00:00:00"/>
    <n v="68268"/>
    <n v="0"/>
    <n v="68268"/>
    <s v="United States"/>
    <s v="Phoenix"/>
    <m/>
    <n v="150"/>
    <n v="0"/>
    <s v="EMP-"/>
    <n v="27"/>
    <s v="Active"/>
  </r>
  <r>
    <s v="EMP-151"/>
    <x v="17"/>
    <s v="Engineering"/>
    <s v="Manufacturing"/>
    <s v="Male"/>
    <n v="45"/>
    <s v="45-55"/>
    <d v="2002-02-26T00:00:00"/>
    <n v="75819"/>
    <n v="0"/>
    <n v="75819"/>
    <s v="Brazil"/>
    <s v="Sao Paulo"/>
    <m/>
    <n v="151"/>
    <n v="0"/>
    <s v="EMP-"/>
    <n v="24"/>
    <s v="Active"/>
  </r>
  <r>
    <s v="EMP-152"/>
    <x v="4"/>
    <s v="Sales"/>
    <s v="Speciality Products"/>
    <s v="Female"/>
    <n v="49"/>
    <s v="45-55"/>
    <d v="1996-05-15T00:00:00"/>
    <n v="86658"/>
    <n v="0"/>
    <n v="86658"/>
    <s v="United States"/>
    <s v="Phoenix"/>
    <m/>
    <n v="152"/>
    <n v="0"/>
    <s v="EMP-"/>
    <n v="29"/>
    <s v="Active"/>
  </r>
  <r>
    <s v="EMP-153"/>
    <x v="13"/>
    <s v="Finance"/>
    <s v="Research &amp; Development"/>
    <s v="Male"/>
    <n v="55"/>
    <s v="55-65"/>
    <d v="2014-03-16T00:00:00"/>
    <n v="74552"/>
    <n v="0"/>
    <n v="74552"/>
    <s v="China"/>
    <s v="Chengdu"/>
    <m/>
    <n v="153"/>
    <n v="0"/>
    <s v="EMP-"/>
    <n v="12"/>
    <s v="Active"/>
  </r>
  <r>
    <s v="EMP-154"/>
    <x v="14"/>
    <s v="IT"/>
    <s v="Manufacturing"/>
    <s v="Female"/>
    <n v="62"/>
    <s v="55-65"/>
    <d v="2009-03-15T00:00:00"/>
    <n v="82839"/>
    <n v="0"/>
    <n v="82839"/>
    <s v="United States"/>
    <s v="Miami"/>
    <m/>
    <n v="154"/>
    <n v="0"/>
    <s v="EMP-"/>
    <n v="17"/>
    <s v="Active"/>
  </r>
  <r>
    <s v="EMP-155"/>
    <x v="23"/>
    <s v="IT"/>
    <s v="Speciality Products"/>
    <s v="Female"/>
    <n v="28"/>
    <s v="25-35"/>
    <d v="2021-10-08T00:00:00"/>
    <n v="64475"/>
    <n v="0"/>
    <n v="64475"/>
    <s v="United States"/>
    <s v="Phoenix"/>
    <m/>
    <n v="155"/>
    <n v="0"/>
    <s v="EMP-"/>
    <n v="4"/>
    <s v="Active"/>
  </r>
  <r>
    <s v="EMP-156"/>
    <x v="23"/>
    <s v="IT"/>
    <s v="Manufacturing"/>
    <s v="Male"/>
    <n v="33"/>
    <s v="25-35"/>
    <d v="2020-07-24T00:00:00"/>
    <n v="69453"/>
    <n v="0"/>
    <n v="69453"/>
    <s v="China"/>
    <s v="Chengdu"/>
    <m/>
    <n v="156"/>
    <n v="0"/>
    <s v="EMP-"/>
    <n v="5"/>
    <s v="Active"/>
  </r>
  <r>
    <s v="EMP-157"/>
    <x v="6"/>
    <s v="IT"/>
    <s v="Corporate"/>
    <s v="Male"/>
    <n v="32"/>
    <s v="25-35"/>
    <d v="2014-01-03T00:00:00"/>
    <n v="127148"/>
    <n v="0.1"/>
    <n v="139862.79999999999"/>
    <s v="United States"/>
    <s v="Miami"/>
    <m/>
    <n v="157"/>
    <n v="0"/>
    <s v="EMP-"/>
    <n v="12"/>
    <s v="Active"/>
  </r>
  <r>
    <s v="EMP-158"/>
    <x v="9"/>
    <s v="Finance"/>
    <s v="Speciality Products"/>
    <s v="Female"/>
    <n v="32"/>
    <s v="25-35"/>
    <d v="2018-01-02T00:00:00"/>
    <n v="190253"/>
    <n v="0.33"/>
    <n v="253036.49"/>
    <s v="United States"/>
    <s v="Austin"/>
    <m/>
    <n v="158"/>
    <n v="0"/>
    <s v="EMP-"/>
    <n v="8"/>
    <s v="Active"/>
  </r>
  <r>
    <s v="EMP-159"/>
    <x v="6"/>
    <s v="Accounting"/>
    <s v="Research &amp; Development"/>
    <s v="Male"/>
    <n v="55"/>
    <s v="55-65"/>
    <d v="2000-04-28T00:00:00"/>
    <n v="115798"/>
    <n v="0.05"/>
    <n v="121587.9"/>
    <s v="United States"/>
    <s v="Miami"/>
    <m/>
    <n v="159"/>
    <n v="0"/>
    <s v="EMP-"/>
    <n v="25"/>
    <s v="Active"/>
  </r>
  <r>
    <s v="EMP-160"/>
    <x v="15"/>
    <s v="Human Resources"/>
    <s v="Research &amp; Development"/>
    <s v="Female"/>
    <n v="58"/>
    <s v="55-65"/>
    <d v="1994-08-21T00:00:00"/>
    <n v="93102"/>
    <n v="0"/>
    <n v="93102"/>
    <s v="United States"/>
    <s v="Seattle"/>
    <d v="2013-12-13T00:00:00"/>
    <n v="160"/>
    <n v="1"/>
    <s v="EMP-"/>
    <n v="19"/>
    <s v="Inactive"/>
  </r>
  <r>
    <s v="EMP-161"/>
    <x v="11"/>
    <s v="Engineering"/>
    <s v="Speciality Products"/>
    <s v="Male"/>
    <n v="34"/>
    <s v="25-35"/>
    <d v="2017-11-16T00:00:00"/>
    <n v="110054"/>
    <n v="0.15"/>
    <n v="126562.1"/>
    <s v="United States"/>
    <s v="Miami"/>
    <m/>
    <n v="161"/>
    <n v="0"/>
    <s v="EMP-"/>
    <n v="8"/>
    <s v="Active"/>
  </r>
  <r>
    <s v="EMP-162"/>
    <x v="10"/>
    <s v="Engineering"/>
    <s v="Research &amp; Development"/>
    <s v="Female"/>
    <n v="27"/>
    <s v="25-35"/>
    <d v="2021-01-28T00:00:00"/>
    <n v="95786"/>
    <n v="0"/>
    <n v="95786"/>
    <s v="United States"/>
    <s v="Chicago"/>
    <m/>
    <n v="162"/>
    <n v="0"/>
    <s v="EMP-"/>
    <n v="5"/>
    <s v="Active"/>
  </r>
  <r>
    <s v="EMP-163"/>
    <x v="4"/>
    <s v="Sales"/>
    <s v="Speciality Products"/>
    <s v="Male"/>
    <n v="61"/>
    <s v="55-65"/>
    <d v="2017-05-03T00:00:00"/>
    <n v="90855"/>
    <n v="0"/>
    <n v="90855"/>
    <s v="Brazil"/>
    <s v="Sao Paulo"/>
    <m/>
    <n v="163"/>
    <n v="0"/>
    <s v="EMP-"/>
    <n v="8"/>
    <s v="Active"/>
  </r>
  <r>
    <s v="EMP-164"/>
    <x v="14"/>
    <s v="IT"/>
    <s v="Manufacturing"/>
    <s v="Male"/>
    <n v="47"/>
    <s v="45-55"/>
    <d v="1999-03-14T00:00:00"/>
    <n v="92897"/>
    <n v="0"/>
    <n v="92897"/>
    <s v="Brazil"/>
    <s v="Sao Paulo"/>
    <m/>
    <n v="164"/>
    <n v="0"/>
    <s v="EMP-"/>
    <n v="27"/>
    <s v="Active"/>
  </r>
  <r>
    <s v="EMP-165"/>
    <x v="9"/>
    <s v="Marketing"/>
    <s v="Speciality Products"/>
    <s v="Male"/>
    <n v="40"/>
    <s v="35-45"/>
    <d v="2009-02-28T00:00:00"/>
    <n v="242919"/>
    <n v="0.31"/>
    <n v="318223.89"/>
    <s v="China"/>
    <s v="Chongqing"/>
    <m/>
    <n v="165"/>
    <n v="0"/>
    <s v="EMP-"/>
    <n v="17"/>
    <s v="Active"/>
  </r>
  <r>
    <s v="EMP-166"/>
    <x v="2"/>
    <s v="Engineering"/>
    <s v="Speciality Products"/>
    <s v="Male"/>
    <n v="30"/>
    <s v="25-35"/>
    <d v="2018-05-20T00:00:00"/>
    <n v="184368"/>
    <n v="0.28999999999999998"/>
    <n v="237834.72"/>
    <s v="United States"/>
    <s v="Austin"/>
    <m/>
    <n v="166"/>
    <n v="0"/>
    <s v="EMP-"/>
    <n v="7"/>
    <s v="Active"/>
  </r>
  <r>
    <s v="EMP-167"/>
    <x v="0"/>
    <s v="Finance"/>
    <s v="Corporate"/>
    <s v="Male"/>
    <n v="45"/>
    <s v="45-55"/>
    <d v="2021-12-24T00:00:00"/>
    <n v="144754"/>
    <n v="0.15"/>
    <n v="166467.1"/>
    <s v="United States"/>
    <s v="Phoenix"/>
    <m/>
    <n v="167"/>
    <n v="0"/>
    <s v="EMP-"/>
    <n v="4"/>
    <s v="Active"/>
  </r>
  <r>
    <s v="EMP-168"/>
    <x v="26"/>
    <s v="Sales"/>
    <s v="Research &amp; Development"/>
    <s v="Female"/>
    <n v="30"/>
    <s v="25-35"/>
    <d v="2016-12-18T00:00:00"/>
    <n v="89458"/>
    <n v="0"/>
    <n v="89458"/>
    <s v="United States"/>
    <s v="Austin"/>
    <m/>
    <n v="168"/>
    <n v="0"/>
    <s v="EMP-"/>
    <n v="9"/>
    <s v="Active"/>
  </r>
  <r>
    <s v="EMP-169"/>
    <x v="9"/>
    <s v="Accounting"/>
    <s v="Corporate"/>
    <s v="Female"/>
    <n v="56"/>
    <s v="55-65"/>
    <d v="2014-03-16T00:00:00"/>
    <n v="190815"/>
    <n v="0.4"/>
    <n v="267141"/>
    <s v="United States"/>
    <s v="Austin"/>
    <m/>
    <n v="169"/>
    <n v="0"/>
    <s v="EMP-"/>
    <n v="12"/>
    <s v="Active"/>
  </r>
  <r>
    <s v="EMP-170"/>
    <x v="0"/>
    <s v="Sales"/>
    <s v="Research &amp; Development"/>
    <s v="Female"/>
    <n v="62"/>
    <s v="55-65"/>
    <d v="1999-08-02T00:00:00"/>
    <n v="137995"/>
    <n v="0.14000000000000001"/>
    <n v="157314.29999999999"/>
    <s v="United States"/>
    <s v="Austin"/>
    <m/>
    <n v="170"/>
    <n v="0"/>
    <s v="EMP-"/>
    <n v="26"/>
    <s v="Active"/>
  </r>
  <r>
    <s v="EMP-171"/>
    <x v="15"/>
    <s v="Human Resources"/>
    <s v="Manufacturing"/>
    <s v="Female"/>
    <n v="45"/>
    <s v="45-55"/>
    <d v="2007-12-21T00:00:00"/>
    <n v="93840"/>
    <n v="0"/>
    <n v="93840"/>
    <s v="Brazil"/>
    <s v="Manaus"/>
    <m/>
    <n v="171"/>
    <n v="0"/>
    <s v="EMP-"/>
    <n v="18"/>
    <s v="Active"/>
  </r>
  <r>
    <s v="EMP-172"/>
    <x v="1"/>
    <s v="IT"/>
    <s v="Research &amp; Development"/>
    <s v="Male"/>
    <n v="46"/>
    <s v="45-55"/>
    <d v="2021-10-26T00:00:00"/>
    <n v="94790"/>
    <n v="0"/>
    <n v="94790"/>
    <s v="China"/>
    <s v="Chongqing"/>
    <m/>
    <n v="172"/>
    <n v="0"/>
    <s v="EMP-"/>
    <n v="4"/>
    <s v="Active"/>
  </r>
  <r>
    <s v="EMP-173"/>
    <x v="9"/>
    <s v="Human Resources"/>
    <s v="Research &amp; Development"/>
    <s v="Male"/>
    <n v="48"/>
    <s v="45-55"/>
    <d v="2014-03-08T00:00:00"/>
    <n v="197367"/>
    <n v="0.39"/>
    <n v="274340.13"/>
    <s v="United States"/>
    <s v="Austin"/>
    <m/>
    <n v="173"/>
    <n v="0"/>
    <s v="EMP-"/>
    <n v="12"/>
    <s v="Active"/>
  </r>
  <r>
    <s v="EMP-174"/>
    <x v="2"/>
    <s v="Accounting"/>
    <s v="Manufacturing"/>
    <s v="Female"/>
    <n v="27"/>
    <s v="25-35"/>
    <d v="2018-06-25T00:00:00"/>
    <n v="174097"/>
    <n v="0.21"/>
    <n v="210657.37"/>
    <s v="United States"/>
    <s v="Phoenix"/>
    <m/>
    <n v="174"/>
    <n v="0"/>
    <s v="EMP-"/>
    <n v="7"/>
    <s v="Active"/>
  </r>
  <r>
    <s v="EMP-175"/>
    <x v="6"/>
    <s v="IT"/>
    <s v="Speciality Products"/>
    <s v="Male"/>
    <n v="53"/>
    <s v="45-55"/>
    <d v="2006-10-31T00:00:00"/>
    <n v="120128"/>
    <n v="0.1"/>
    <n v="132140.79999999999"/>
    <s v="United States"/>
    <s v="Austin"/>
    <m/>
    <n v="175"/>
    <n v="0"/>
    <s v="EMP-"/>
    <n v="19"/>
    <s v="Active"/>
  </r>
  <r>
    <s v="EMP-176"/>
    <x v="6"/>
    <s v="Marketing"/>
    <s v="Manufacturing"/>
    <s v="Female"/>
    <n v="59"/>
    <s v="55-65"/>
    <d v="2007-04-25T00:00:00"/>
    <n v="129708"/>
    <n v="0.05"/>
    <n v="136193.4"/>
    <s v="United States"/>
    <s v="Miami"/>
    <m/>
    <n v="176"/>
    <n v="0"/>
    <s v="EMP-"/>
    <n v="18"/>
    <s v="Active"/>
  </r>
  <r>
    <s v="EMP-177"/>
    <x v="6"/>
    <s v="Marketing"/>
    <s v="Research &amp; Development"/>
    <s v="Male"/>
    <n v="55"/>
    <s v="55-65"/>
    <d v="1994-09-18T00:00:00"/>
    <n v="102270"/>
    <n v="0.1"/>
    <n v="112497"/>
    <s v="United States"/>
    <s v="Chicago"/>
    <m/>
    <n v="177"/>
    <n v="0"/>
    <s v="EMP-"/>
    <n v="31"/>
    <s v="Active"/>
  </r>
  <r>
    <s v="EMP-178"/>
    <x v="9"/>
    <s v="Finance"/>
    <s v="Speciality Products"/>
    <s v="Female"/>
    <n v="43"/>
    <s v="35-45"/>
    <d v="2005-07-31T00:00:00"/>
    <n v="249686"/>
    <n v="0.31"/>
    <n v="327088.66000000003"/>
    <s v="China"/>
    <s v="Chongqing"/>
    <m/>
    <n v="178"/>
    <n v="0"/>
    <s v="EMP-"/>
    <n v="20"/>
    <s v="Active"/>
  </r>
  <r>
    <s v="EMP-179"/>
    <x v="7"/>
    <s v="Finance"/>
    <s v="Manufacturing"/>
    <s v="Female"/>
    <n v="55"/>
    <s v="55-65"/>
    <d v="2002-03-28T00:00:00"/>
    <n v="50475"/>
    <n v="0"/>
    <n v="50475"/>
    <s v="United States"/>
    <s v="Columbus"/>
    <m/>
    <n v="179"/>
    <n v="0"/>
    <s v="EMP-"/>
    <n v="23"/>
    <s v="Active"/>
  </r>
  <r>
    <s v="EMP-180"/>
    <x v="6"/>
    <s v="Marketing"/>
    <s v="Research &amp; Development"/>
    <s v="Male"/>
    <n v="51"/>
    <s v="45-55"/>
    <d v="2020-07-02T00:00:00"/>
    <n v="100099"/>
    <n v="0.08"/>
    <n v="108106.92"/>
    <s v="United States"/>
    <s v="Miami"/>
    <m/>
    <n v="180"/>
    <n v="0"/>
    <s v="EMP-"/>
    <n v="5"/>
    <s v="Active"/>
  </r>
  <r>
    <s v="EMP-181"/>
    <x v="12"/>
    <s v="IT"/>
    <s v="Manufacturing"/>
    <s v="Female"/>
    <n v="54"/>
    <s v="45-55"/>
    <d v="2016-12-27T00:00:00"/>
    <n v="41673"/>
    <n v="0"/>
    <n v="41673"/>
    <s v="United States"/>
    <s v="Miami"/>
    <m/>
    <n v="181"/>
    <n v="0"/>
    <s v="EMP-"/>
    <n v="9"/>
    <s v="Active"/>
  </r>
  <r>
    <s v="EMP-182"/>
    <x v="4"/>
    <s v="Marketing"/>
    <s v="Speciality Products"/>
    <s v="Female"/>
    <n v="47"/>
    <s v="45-55"/>
    <d v="2017-07-12T00:00:00"/>
    <n v="70996"/>
    <n v="0"/>
    <n v="70996"/>
    <s v="China"/>
    <s v="Chengdu"/>
    <m/>
    <n v="182"/>
    <n v="0"/>
    <s v="EMP-"/>
    <n v="8"/>
    <s v="Active"/>
  </r>
  <r>
    <s v="EMP-183"/>
    <x v="7"/>
    <s v="Marketing"/>
    <s v="Corporate"/>
    <s v="Male"/>
    <n v="55"/>
    <s v="55-65"/>
    <d v="2004-12-07T00:00:00"/>
    <n v="40752"/>
    <n v="0"/>
    <n v="40752"/>
    <s v="United States"/>
    <s v="Phoenix"/>
    <m/>
    <n v="183"/>
    <n v="0"/>
    <s v="EMP-"/>
    <n v="21"/>
    <s v="Active"/>
  </r>
  <r>
    <s v="EMP-184"/>
    <x v="24"/>
    <s v="IT"/>
    <s v="Manufacturing"/>
    <s v="Female"/>
    <n v="50"/>
    <s v="45-55"/>
    <d v="2001-01-23T00:00:00"/>
    <n v="97537"/>
    <n v="0"/>
    <n v="97537"/>
    <s v="China"/>
    <s v="Chengdu"/>
    <m/>
    <n v="184"/>
    <n v="0"/>
    <s v="EMP-"/>
    <n v="25"/>
    <s v="Active"/>
  </r>
  <r>
    <s v="EMP-185"/>
    <x v="30"/>
    <s v="IT"/>
    <s v="Research &amp; Development"/>
    <s v="Male"/>
    <n v="31"/>
    <s v="25-35"/>
    <d v="2020-09-12T00:00:00"/>
    <n v="96567"/>
    <n v="0"/>
    <n v="96567"/>
    <s v="China"/>
    <s v="Shanghai"/>
    <m/>
    <n v="185"/>
    <n v="0"/>
    <s v="EMP-"/>
    <n v="5"/>
    <s v="Active"/>
  </r>
  <r>
    <s v="EMP-186"/>
    <x v="28"/>
    <s v="IT"/>
    <s v="Speciality Products"/>
    <s v="Male"/>
    <n v="47"/>
    <s v="45-55"/>
    <d v="1999-03-10T00:00:00"/>
    <n v="49404"/>
    <n v="0"/>
    <n v="49404"/>
    <s v="China"/>
    <s v="Beijing"/>
    <m/>
    <n v="186"/>
    <n v="0"/>
    <s v="EMP-"/>
    <n v="27"/>
    <s v="Active"/>
  </r>
  <r>
    <s v="EMP-187"/>
    <x v="30"/>
    <s v="IT"/>
    <s v="Research &amp; Development"/>
    <s v="Male"/>
    <n v="29"/>
    <s v="25-35"/>
    <d v="2019-10-15T00:00:00"/>
    <n v="66819"/>
    <n v="0"/>
    <n v="66819"/>
    <s v="Brazil"/>
    <s v="Rio de Janerio"/>
    <m/>
    <n v="187"/>
    <n v="0"/>
    <s v="EMP-"/>
    <n v="6"/>
    <s v="Active"/>
  </r>
  <r>
    <s v="EMP-188"/>
    <x v="7"/>
    <s v="Marketing"/>
    <s v="Speciality Products"/>
    <s v="Male"/>
    <n v="38"/>
    <s v="35-45"/>
    <d v="2016-05-02T00:00:00"/>
    <n v="50784"/>
    <n v="0"/>
    <n v="50784"/>
    <s v="Brazil"/>
    <s v="Rio de Janerio"/>
    <m/>
    <n v="188"/>
    <n v="0"/>
    <s v="EMP-"/>
    <n v="9"/>
    <s v="Active"/>
  </r>
  <r>
    <s v="EMP-189"/>
    <x v="0"/>
    <s v="Human Resources"/>
    <s v="Research &amp; Development"/>
    <s v="Male"/>
    <n v="29"/>
    <s v="25-35"/>
    <d v="2019-05-09T00:00:00"/>
    <n v="125828"/>
    <n v="0.15"/>
    <n v="144702.20000000001"/>
    <s v="Brazil"/>
    <s v="Sao Paulo"/>
    <m/>
    <n v="189"/>
    <n v="0"/>
    <s v="EMP-"/>
    <n v="6"/>
    <s v="Active"/>
  </r>
  <r>
    <s v="EMP-190"/>
    <x v="15"/>
    <s v="Human Resources"/>
    <s v="Manufacturing"/>
    <s v="Male"/>
    <n v="33"/>
    <s v="25-35"/>
    <d v="2017-08-04T00:00:00"/>
    <n v="92610"/>
    <n v="0"/>
    <n v="92610"/>
    <s v="United States"/>
    <s v="Columbus"/>
    <m/>
    <n v="190"/>
    <n v="0"/>
    <s v="EMP-"/>
    <n v="8"/>
    <s v="Active"/>
  </r>
  <r>
    <s v="EMP-191"/>
    <x v="0"/>
    <s v="Sales"/>
    <s v="Speciality Products"/>
    <s v="Male"/>
    <n v="50"/>
    <s v="45-55"/>
    <d v="2003-03-25T00:00:00"/>
    <n v="123405"/>
    <n v="0.13"/>
    <n v="139447.65"/>
    <s v="United States"/>
    <s v="Columbus"/>
    <m/>
    <n v="191"/>
    <n v="0"/>
    <s v="EMP-"/>
    <n v="22"/>
    <s v="Active"/>
  </r>
  <r>
    <s v="EMP-192"/>
    <x v="5"/>
    <s v="Sales"/>
    <s v="Manufacturing"/>
    <s v="Female"/>
    <n v="46"/>
    <s v="45-55"/>
    <d v="2004-03-20T00:00:00"/>
    <n v="73004"/>
    <n v="0"/>
    <n v="73004"/>
    <s v="China"/>
    <s v="Beijing"/>
    <m/>
    <n v="192"/>
    <n v="0"/>
    <s v="EMP-"/>
    <n v="21"/>
    <s v="Active"/>
  </r>
  <r>
    <s v="EMP-193"/>
    <x v="11"/>
    <s v="Engineering"/>
    <s v="Corporate"/>
    <s v="Male"/>
    <n v="57"/>
    <s v="55-65"/>
    <d v="1999-04-25T00:00:00"/>
    <n v="95061"/>
    <n v="0.1"/>
    <n v="104567.1"/>
    <s v="China"/>
    <s v="Shanghai"/>
    <m/>
    <n v="193"/>
    <n v="0"/>
    <s v="EMP-"/>
    <n v="26"/>
    <s v="Active"/>
  </r>
  <r>
    <s v="EMP-194"/>
    <x v="2"/>
    <s v="Sales"/>
    <s v="Corporate"/>
    <s v="Female"/>
    <n v="49"/>
    <s v="45-55"/>
    <d v="1998-04-02T00:00:00"/>
    <n v="160832"/>
    <n v="0.3"/>
    <n v="209081.60000000001"/>
    <s v="United States"/>
    <s v="Phoenix"/>
    <m/>
    <n v="194"/>
    <n v="0"/>
    <s v="EMP-"/>
    <n v="27"/>
    <s v="Active"/>
  </r>
  <r>
    <s v="EMP-195"/>
    <x v="31"/>
    <s v="IT"/>
    <s v="Manufacturing"/>
    <s v="Male"/>
    <n v="54"/>
    <s v="45-55"/>
    <d v="2010-12-28T00:00:00"/>
    <n v="64417"/>
    <n v="0"/>
    <n v="64417"/>
    <s v="United States"/>
    <s v="Columbus"/>
    <m/>
    <n v="195"/>
    <n v="0"/>
    <s v="EMP-"/>
    <n v="15"/>
    <s v="Active"/>
  </r>
  <r>
    <s v="EMP-196"/>
    <x v="6"/>
    <s v="Sales"/>
    <s v="Corporate"/>
    <s v="Male"/>
    <n v="28"/>
    <s v="25-35"/>
    <d v="2021-03-19T00:00:00"/>
    <n v="127543"/>
    <n v="0.06"/>
    <n v="135195.57999999999"/>
    <s v="China"/>
    <s v="Shanghai"/>
    <m/>
    <n v="196"/>
    <n v="0"/>
    <s v="EMP-"/>
    <n v="4"/>
    <s v="Active"/>
  </r>
  <r>
    <s v="EMP-197"/>
    <x v="7"/>
    <s v="Marketing"/>
    <s v="Manufacturing"/>
    <s v="Male"/>
    <n v="30"/>
    <s v="25-35"/>
    <d v="2018-06-21T00:00:00"/>
    <n v="56154"/>
    <n v="0"/>
    <n v="56154"/>
    <s v="Brazil"/>
    <s v="Sao Paulo"/>
    <m/>
    <n v="197"/>
    <n v="0"/>
    <s v="EMP-"/>
    <n v="7"/>
    <s v="Active"/>
  </r>
  <r>
    <s v="EMP-198"/>
    <x v="9"/>
    <s v="Sales"/>
    <s v="Manufacturing"/>
    <s v="Female"/>
    <n v="36"/>
    <s v="35-45"/>
    <d v="2014-02-22T00:00:00"/>
    <n v="218530"/>
    <n v="0.3"/>
    <n v="284089"/>
    <s v="China"/>
    <s v="Shanghai"/>
    <m/>
    <n v="198"/>
    <n v="0"/>
    <s v="EMP-"/>
    <n v="12"/>
    <s v="Active"/>
  </r>
  <r>
    <s v="EMP-199"/>
    <x v="31"/>
    <s v="IT"/>
    <s v="Manufacturing"/>
    <s v="Female"/>
    <n v="36"/>
    <s v="35-45"/>
    <d v="2019-12-19T00:00:00"/>
    <n v="91954"/>
    <n v="0"/>
    <n v="91954"/>
    <s v="United States"/>
    <s v="Columbus"/>
    <m/>
    <n v="199"/>
    <n v="0"/>
    <s v="EMP-"/>
    <n v="6"/>
    <s v="Active"/>
  </r>
  <r>
    <s v="EMP-200"/>
    <x v="9"/>
    <s v="Marketing"/>
    <s v="Corporate"/>
    <s v="Female"/>
    <n v="30"/>
    <s v="25-35"/>
    <d v="2016-09-21T00:00:00"/>
    <n v="221217"/>
    <n v="0.32"/>
    <n v="292006.44"/>
    <s v="United States"/>
    <s v="Columbus"/>
    <d v="2017-09-25T00:00:00"/>
    <n v="200"/>
    <n v="1"/>
    <s v="EMP-"/>
    <n v="1"/>
    <s v="Inactive"/>
  </r>
  <r>
    <s v="EMP-201"/>
    <x v="27"/>
    <s v="IT"/>
    <s v="Manufacturing"/>
    <s v="Male"/>
    <n v="29"/>
    <s v="25-35"/>
    <d v="2017-05-11T00:00:00"/>
    <n v="87536"/>
    <n v="0"/>
    <n v="87536"/>
    <s v="United States"/>
    <s v="Seattle"/>
    <m/>
    <n v="201"/>
    <n v="0"/>
    <s v="EMP-"/>
    <n v="8"/>
    <s v="Active"/>
  </r>
  <r>
    <s v="EMP-202"/>
    <x v="7"/>
    <s v="Sales"/>
    <s v="Corporate"/>
    <s v="Female"/>
    <n v="47"/>
    <s v="45-55"/>
    <d v="2015-06-09T00:00:00"/>
    <n v="41429"/>
    <n v="0"/>
    <n v="41429"/>
    <s v="United States"/>
    <s v="Seattle"/>
    <m/>
    <n v="202"/>
    <n v="0"/>
    <s v="EMP-"/>
    <n v="10"/>
    <s v="Active"/>
  </r>
  <r>
    <s v="EMP-203"/>
    <x v="9"/>
    <s v="Engineering"/>
    <s v="Manufacturing"/>
    <s v="Male"/>
    <n v="35"/>
    <s v="35-45"/>
    <d v="2011-10-10T00:00:00"/>
    <n v="245482"/>
    <n v="0.39"/>
    <n v="341219.98"/>
    <s v="United States"/>
    <s v="Seattle"/>
    <m/>
    <n v="203"/>
    <n v="0"/>
    <s v="EMP-"/>
    <n v="14"/>
    <s v="Active"/>
  </r>
  <r>
    <s v="EMP-204"/>
    <x v="25"/>
    <s v="Engineering"/>
    <s v="Manufacturing"/>
    <s v="Female"/>
    <n v="25"/>
    <s v="25-35"/>
    <d v="2020-01-20T00:00:00"/>
    <n v="71359"/>
    <n v="0"/>
    <n v="71359"/>
    <s v="United States"/>
    <s v="Phoenix"/>
    <m/>
    <n v="204"/>
    <n v="0"/>
    <s v="EMP-"/>
    <n v="6"/>
    <s v="Active"/>
  </r>
  <r>
    <s v="EMP-205"/>
    <x v="2"/>
    <s v="Engineering"/>
    <s v="Speciality Products"/>
    <s v="Male"/>
    <n v="45"/>
    <s v="45-55"/>
    <d v="2014-08-28T00:00:00"/>
    <n v="183161"/>
    <n v="0.22"/>
    <n v="223456.41999999998"/>
    <s v="United States"/>
    <s v="Miami"/>
    <m/>
    <n v="205"/>
    <n v="0"/>
    <s v="EMP-"/>
    <n v="11"/>
    <s v="Active"/>
  </r>
  <r>
    <s v="EMP-206"/>
    <x v="32"/>
    <s v="IT"/>
    <s v="Corporate"/>
    <s v="Male"/>
    <n v="58"/>
    <s v="55-65"/>
    <d v="1993-07-26T00:00:00"/>
    <n v="69260"/>
    <n v="0"/>
    <n v="69260"/>
    <s v="United States"/>
    <s v="Phoenix"/>
    <m/>
    <n v="206"/>
    <n v="0"/>
    <s v="EMP-"/>
    <n v="32"/>
    <s v="Active"/>
  </r>
  <r>
    <s v="EMP-207"/>
    <x v="19"/>
    <s v="Engineering"/>
    <s v="Speciality Products"/>
    <s v="Male"/>
    <n v="51"/>
    <s v="45-55"/>
    <d v="1999-10-09T00:00:00"/>
    <n v="95639"/>
    <n v="0"/>
    <n v="95639"/>
    <s v="United States"/>
    <s v="Austin"/>
    <m/>
    <n v="207"/>
    <n v="0"/>
    <s v="EMP-"/>
    <n v="26"/>
    <s v="Active"/>
  </r>
  <r>
    <s v="EMP-208"/>
    <x v="6"/>
    <s v="Human Resources"/>
    <s v="Research &amp; Development"/>
    <s v="Male"/>
    <n v="48"/>
    <s v="45-55"/>
    <d v="2004-06-30T00:00:00"/>
    <n v="120660"/>
    <n v="7.0000000000000007E-2"/>
    <n v="129106.2"/>
    <s v="China"/>
    <s v="Chengdu"/>
    <m/>
    <n v="208"/>
    <n v="0"/>
    <s v="EMP-"/>
    <n v="21"/>
    <s v="Active"/>
  </r>
  <r>
    <s v="EMP-209"/>
    <x v="4"/>
    <s v="Sales"/>
    <s v="Corporate"/>
    <s v="Male"/>
    <n v="36"/>
    <s v="35-45"/>
    <d v="2021-12-26T00:00:00"/>
    <n v="75119"/>
    <n v="0"/>
    <n v="75119"/>
    <s v="United States"/>
    <s v="Chicago"/>
    <m/>
    <n v="209"/>
    <n v="0"/>
    <s v="EMP-"/>
    <n v="4"/>
    <s v="Active"/>
  </r>
  <r>
    <s v="EMP-210"/>
    <x v="9"/>
    <s v="Accounting"/>
    <s v="Research &amp; Development"/>
    <s v="Male"/>
    <n v="59"/>
    <s v="55-65"/>
    <d v="2011-05-18T00:00:00"/>
    <n v="192213"/>
    <n v="0.4"/>
    <n v="269098.2"/>
    <s v="United States"/>
    <s v="Chicago"/>
    <m/>
    <n v="210"/>
    <n v="0"/>
    <s v="EMP-"/>
    <n v="14"/>
    <s v="Active"/>
  </r>
  <r>
    <s v="EMP-211"/>
    <x v="5"/>
    <s v="Sales"/>
    <s v="Speciality Products"/>
    <s v="Female"/>
    <n v="45"/>
    <s v="45-55"/>
    <d v="2014-05-10T00:00:00"/>
    <n v="65047"/>
    <n v="0"/>
    <n v="65047"/>
    <s v="Brazil"/>
    <s v="Sao Paulo"/>
    <m/>
    <n v="211"/>
    <n v="0"/>
    <s v="EMP-"/>
    <n v="11"/>
    <s v="Active"/>
  </r>
  <r>
    <s v="EMP-212"/>
    <x v="0"/>
    <s v="Sales"/>
    <s v="Manufacturing"/>
    <s v="Male"/>
    <n v="29"/>
    <s v="25-35"/>
    <d v="2017-03-16T00:00:00"/>
    <n v="151413"/>
    <n v="0.15"/>
    <n v="174124.95"/>
    <s v="United States"/>
    <s v="Seattle"/>
    <m/>
    <n v="212"/>
    <n v="0"/>
    <s v="EMP-"/>
    <n v="9"/>
    <s v="Active"/>
  </r>
  <r>
    <s v="EMP-213"/>
    <x v="4"/>
    <s v="Accounting"/>
    <s v="Speciality Products"/>
    <s v="Male"/>
    <n v="62"/>
    <s v="55-65"/>
    <d v="2003-04-22T00:00:00"/>
    <n v="76906"/>
    <n v="0"/>
    <n v="76906"/>
    <s v="United States"/>
    <s v="Seattle"/>
    <m/>
    <n v="213"/>
    <n v="0"/>
    <s v="EMP-"/>
    <n v="22"/>
    <s v="Active"/>
  </r>
  <r>
    <s v="EMP-214"/>
    <x v="6"/>
    <s v="IT"/>
    <s v="Corporate"/>
    <s v="Male"/>
    <n v="51"/>
    <s v="45-55"/>
    <d v="1994-02-23T00:00:00"/>
    <n v="122802"/>
    <n v="0.05"/>
    <n v="128942.1"/>
    <s v="China"/>
    <s v="Shanghai"/>
    <m/>
    <n v="214"/>
    <n v="0"/>
    <s v="EMP-"/>
    <n v="32"/>
    <s v="Active"/>
  </r>
  <r>
    <s v="EMP-215"/>
    <x v="25"/>
    <s v="Engineering"/>
    <s v="Research &amp; Development"/>
    <s v="Male"/>
    <n v="47"/>
    <s v="45-55"/>
    <d v="1998-07-14T00:00:00"/>
    <n v="99091"/>
    <n v="0"/>
    <n v="99091"/>
    <s v="United States"/>
    <s v="Austin"/>
    <m/>
    <n v="215"/>
    <n v="0"/>
    <s v="EMP-"/>
    <n v="27"/>
    <s v="Active"/>
  </r>
  <r>
    <s v="EMP-216"/>
    <x v="8"/>
    <s v="Engineering"/>
    <s v="Manufacturing"/>
    <s v="Male"/>
    <n v="40"/>
    <s v="35-45"/>
    <d v="2008-02-28T00:00:00"/>
    <n v="113987"/>
    <n v="0"/>
    <n v="113987"/>
    <s v="Brazil"/>
    <s v="Manaus"/>
    <m/>
    <n v="216"/>
    <n v="0"/>
    <s v="EMP-"/>
    <n v="18"/>
    <s v="Active"/>
  </r>
  <r>
    <s v="EMP-217"/>
    <x v="4"/>
    <s v="Finance"/>
    <s v="Corporate"/>
    <s v="Female"/>
    <n v="28"/>
    <s v="25-35"/>
    <d v="2020-09-04T00:00:00"/>
    <n v="95045"/>
    <n v="0"/>
    <n v="95045"/>
    <s v="United States"/>
    <s v="Chicago"/>
    <m/>
    <n v="217"/>
    <n v="0"/>
    <s v="EMP-"/>
    <n v="5"/>
    <s v="Active"/>
  </r>
  <r>
    <s v="EMP-218"/>
    <x v="9"/>
    <s v="Marketing"/>
    <s v="Speciality Products"/>
    <s v="Female"/>
    <n v="29"/>
    <s v="25-35"/>
    <d v="2017-01-05T00:00:00"/>
    <n v="190401"/>
    <n v="0.37"/>
    <n v="260849.37"/>
    <s v="United States"/>
    <s v="Columbus"/>
    <m/>
    <n v="218"/>
    <n v="0"/>
    <s v="EMP-"/>
    <n v="9"/>
    <s v="Active"/>
  </r>
  <r>
    <s v="EMP-219"/>
    <x v="4"/>
    <s v="Finance"/>
    <s v="Corporate"/>
    <s v="Male"/>
    <n v="46"/>
    <s v="45-55"/>
    <d v="2013-01-20T00:00:00"/>
    <n v="86061"/>
    <n v="0"/>
    <n v="86061"/>
    <s v="Brazil"/>
    <s v="Rio de Janerio"/>
    <m/>
    <n v="219"/>
    <n v="0"/>
    <s v="EMP-"/>
    <n v="13"/>
    <s v="Active"/>
  </r>
  <r>
    <s v="EMP-220"/>
    <x v="26"/>
    <s v="Sales"/>
    <s v="Speciality Products"/>
    <s v="Male"/>
    <n v="45"/>
    <s v="45-55"/>
    <d v="2021-02-10T00:00:00"/>
    <n v="79882"/>
    <n v="0"/>
    <n v="79882"/>
    <s v="United States"/>
    <s v="Phoenix"/>
    <m/>
    <n v="220"/>
    <n v="0"/>
    <s v="EMP-"/>
    <n v="5"/>
    <s v="Active"/>
  </r>
  <r>
    <s v="EMP-221"/>
    <x v="9"/>
    <s v="Engineering"/>
    <s v="Manufacturing"/>
    <s v="Female"/>
    <n v="30"/>
    <s v="25-35"/>
    <d v="2018-03-06T00:00:00"/>
    <n v="255431"/>
    <n v="0.36"/>
    <n v="347386.16000000003"/>
    <s v="United States"/>
    <s v="Columbus"/>
    <m/>
    <n v="221"/>
    <n v="0"/>
    <s v="EMP-"/>
    <n v="8"/>
    <s v="Active"/>
  </r>
  <r>
    <s v="EMP-222"/>
    <x v="31"/>
    <s v="IT"/>
    <s v="Manufacturing"/>
    <s v="Female"/>
    <n v="48"/>
    <s v="45-55"/>
    <d v="2003-08-22T00:00:00"/>
    <n v="82017"/>
    <n v="0"/>
    <n v="82017"/>
    <s v="China"/>
    <s v="Beijing"/>
    <m/>
    <n v="222"/>
    <n v="0"/>
    <s v="EMP-"/>
    <n v="22"/>
    <s v="Active"/>
  </r>
  <r>
    <s v="EMP-223"/>
    <x v="7"/>
    <s v="Finance"/>
    <s v="Manufacturing"/>
    <s v="Female"/>
    <n v="51"/>
    <s v="45-55"/>
    <d v="2017-01-18T00:00:00"/>
    <n v="53799"/>
    <n v="0"/>
    <n v="53799"/>
    <s v="United States"/>
    <s v="Columbus"/>
    <m/>
    <n v="223"/>
    <n v="0"/>
    <s v="EMP-"/>
    <n v="9"/>
    <s v="Active"/>
  </r>
  <r>
    <s v="EMP-224"/>
    <x v="4"/>
    <s v="Sales"/>
    <s v="Corporate"/>
    <s v="Female"/>
    <n v="28"/>
    <s v="25-35"/>
    <d v="2021-07-03T00:00:00"/>
    <n v="82739"/>
    <n v="0"/>
    <n v="82739"/>
    <s v="United States"/>
    <s v="Phoenix"/>
    <m/>
    <n v="224"/>
    <n v="0"/>
    <s v="EMP-"/>
    <n v="4"/>
    <s v="Active"/>
  </r>
  <r>
    <s v="EMP-225"/>
    <x v="21"/>
    <s v="IT"/>
    <s v="Manufacturing"/>
    <s v="Female"/>
    <n v="36"/>
    <s v="35-45"/>
    <d v="2014-05-30T00:00:00"/>
    <n v="99080"/>
    <n v="0"/>
    <n v="99080"/>
    <s v="United States"/>
    <s v="Chicago"/>
    <m/>
    <n v="225"/>
    <n v="0"/>
    <s v="EMP-"/>
    <n v="11"/>
    <s v="Active"/>
  </r>
  <r>
    <s v="EMP-226"/>
    <x v="26"/>
    <s v="Sales"/>
    <s v="Corporate"/>
    <s v="Female"/>
    <n v="40"/>
    <s v="35-45"/>
    <d v="2011-01-20T00:00:00"/>
    <n v="96719"/>
    <n v="0"/>
    <n v="96719"/>
    <s v="China"/>
    <s v="Chengdu"/>
    <m/>
    <n v="226"/>
    <n v="0"/>
    <s v="EMP-"/>
    <n v="15"/>
    <s v="Active"/>
  </r>
  <r>
    <s v="EMP-227"/>
    <x v="2"/>
    <s v="Human Resources"/>
    <s v="Research &amp; Development"/>
    <s v="Female"/>
    <n v="51"/>
    <s v="45-55"/>
    <d v="2021-03-28T00:00:00"/>
    <n v="180687"/>
    <n v="0.19"/>
    <n v="215017.53"/>
    <s v="United States"/>
    <s v="Phoenix"/>
    <m/>
    <n v="227"/>
    <n v="0"/>
    <s v="EMP-"/>
    <n v="4"/>
    <s v="Active"/>
  </r>
  <r>
    <s v="EMP-228"/>
    <x v="11"/>
    <s v="Engineering"/>
    <s v="Corporate"/>
    <s v="Male"/>
    <n v="45"/>
    <s v="45-55"/>
    <d v="2001-04-12T00:00:00"/>
    <n v="95743"/>
    <n v="0.15"/>
    <n v="110104.45"/>
    <s v="United States"/>
    <s v="Austin"/>
    <d v="2010-01-15T00:00:00"/>
    <n v="228"/>
    <n v="1"/>
    <s v="EMP-"/>
    <n v="8"/>
    <s v="Inactive"/>
  </r>
  <r>
    <s v="EMP-229"/>
    <x v="25"/>
    <s v="Engineering"/>
    <s v="Research &amp; Development"/>
    <s v="Female"/>
    <n v="44"/>
    <s v="35-45"/>
    <d v="2009-09-04T00:00:00"/>
    <n v="89695"/>
    <n v="0"/>
    <n v="89695"/>
    <s v="United States"/>
    <s v="Austin"/>
    <m/>
    <n v="229"/>
    <n v="0"/>
    <s v="EMP-"/>
    <n v="16"/>
    <s v="Active"/>
  </r>
  <r>
    <s v="EMP-230"/>
    <x v="6"/>
    <s v="Finance"/>
    <s v="Manufacturing"/>
    <s v="Male"/>
    <n v="64"/>
    <s v="55-65"/>
    <d v="1998-07-20T00:00:00"/>
    <n v="122753"/>
    <n v="0.09"/>
    <n v="133800.76999999999"/>
    <s v="China"/>
    <s v="Chongqing"/>
    <m/>
    <n v="230"/>
    <n v="0"/>
    <s v="EMP-"/>
    <n v="27"/>
    <s v="Active"/>
  </r>
  <r>
    <s v="EMP-231"/>
    <x v="15"/>
    <s v="Human Resources"/>
    <s v="Research &amp; Development"/>
    <s v="Male"/>
    <n v="30"/>
    <s v="25-35"/>
    <d v="2015-03-15T00:00:00"/>
    <n v="93734"/>
    <n v="0"/>
    <n v="93734"/>
    <s v="United States"/>
    <s v="Phoenix"/>
    <m/>
    <n v="231"/>
    <n v="0"/>
    <s v="EMP-"/>
    <n v="11"/>
    <s v="Active"/>
  </r>
  <r>
    <s v="EMP-232"/>
    <x v="7"/>
    <s v="Accounting"/>
    <s v="Corporate"/>
    <s v="Male"/>
    <n v="28"/>
    <s v="25-35"/>
    <d v="2017-05-12T00:00:00"/>
    <n v="52069"/>
    <n v="0"/>
    <n v="52069"/>
    <s v="China"/>
    <s v="Chongqing"/>
    <m/>
    <n v="232"/>
    <n v="0"/>
    <s v="EMP-"/>
    <n v="8"/>
    <s v="Active"/>
  </r>
  <r>
    <s v="EMP-233"/>
    <x v="9"/>
    <s v="Accounting"/>
    <s v="Corporate"/>
    <s v="Female"/>
    <n v="33"/>
    <s v="25-35"/>
    <d v="2020-12-16T00:00:00"/>
    <n v="258426"/>
    <n v="0.4"/>
    <n v="361796.4"/>
    <s v="Brazil"/>
    <s v="Rio de Janerio"/>
    <m/>
    <n v="233"/>
    <n v="0"/>
    <s v="EMP-"/>
    <n v="5"/>
    <s v="Active"/>
  </r>
  <r>
    <s v="EMP-234"/>
    <x v="6"/>
    <s v="Finance"/>
    <s v="Speciality Products"/>
    <s v="Male"/>
    <n v="51"/>
    <s v="45-55"/>
    <d v="1995-02-16T00:00:00"/>
    <n v="125375"/>
    <n v="0.09"/>
    <n v="136658.75"/>
    <s v="United States"/>
    <s v="Chicago"/>
    <m/>
    <n v="234"/>
    <n v="0"/>
    <s v="EMP-"/>
    <n v="31"/>
    <s v="Active"/>
  </r>
  <r>
    <s v="EMP-235"/>
    <x v="9"/>
    <s v="Accounting"/>
    <s v="Manufacturing"/>
    <s v="Male"/>
    <n v="25"/>
    <s v="25-35"/>
    <d v="2021-02-08T00:00:00"/>
    <n v="198243"/>
    <n v="0.31"/>
    <n v="259698.33000000002"/>
    <s v="United States"/>
    <s v="Miami"/>
    <m/>
    <n v="235"/>
    <n v="0"/>
    <s v="EMP-"/>
    <n v="5"/>
    <s v="Active"/>
  </r>
  <r>
    <s v="EMP-236"/>
    <x v="22"/>
    <s v="Engineering"/>
    <s v="Research &amp; Development"/>
    <s v="Female"/>
    <n v="42"/>
    <s v="35-45"/>
    <d v="2017-11-23T00:00:00"/>
    <n v="96023"/>
    <n v="0"/>
    <n v="96023"/>
    <s v="United States"/>
    <s v="Miami"/>
    <m/>
    <n v="236"/>
    <n v="0"/>
    <s v="EMP-"/>
    <n v="8"/>
    <s v="Active"/>
  </r>
  <r>
    <s v="EMP-237"/>
    <x v="4"/>
    <s v="Marketing"/>
    <s v="Research &amp; Development"/>
    <s v="Female"/>
    <n v="34"/>
    <s v="25-35"/>
    <d v="2012-06-25T00:00:00"/>
    <n v="83066"/>
    <n v="0"/>
    <n v="83066"/>
    <s v="United States"/>
    <s v="Chicago"/>
    <d v="2013-06-05T00:00:00"/>
    <n v="237"/>
    <n v="1"/>
    <s v="EMP-"/>
    <n v="0"/>
    <s v="Inactive"/>
  </r>
  <r>
    <s v="EMP-238"/>
    <x v="13"/>
    <s v="Sales"/>
    <s v="Research &amp; Development"/>
    <s v="Female"/>
    <n v="48"/>
    <s v="45-55"/>
    <d v="2014-05-14T00:00:00"/>
    <n v="61216"/>
    <n v="0"/>
    <n v="61216"/>
    <s v="United States"/>
    <s v="Seattle"/>
    <m/>
    <n v="238"/>
    <n v="0"/>
    <s v="EMP-"/>
    <n v="11"/>
    <s v="Active"/>
  </r>
  <r>
    <s v="EMP-239"/>
    <x v="0"/>
    <s v="Accounting"/>
    <s v="Corporate"/>
    <s v="Male"/>
    <n v="33"/>
    <s v="25-35"/>
    <d v="2013-02-10T00:00:00"/>
    <n v="144231"/>
    <n v="0.14000000000000001"/>
    <n v="164423.34"/>
    <s v="United States"/>
    <s v="Columbus"/>
    <d v="2020-07-17T00:00:00"/>
    <n v="239"/>
    <n v="1"/>
    <s v="EMP-"/>
    <n v="7"/>
    <s v="Inactive"/>
  </r>
  <r>
    <s v="EMP-240"/>
    <x v="16"/>
    <s v="Human Resources"/>
    <s v="Research &amp; Development"/>
    <s v="Male"/>
    <n v="41"/>
    <s v="35-45"/>
    <d v="2007-10-24T00:00:00"/>
    <n v="51630"/>
    <n v="0"/>
    <n v="51630"/>
    <s v="China"/>
    <s v="Beijing"/>
    <m/>
    <n v="240"/>
    <n v="0"/>
    <s v="EMP-"/>
    <n v="18"/>
    <s v="Active"/>
  </r>
  <r>
    <s v="EMP-241"/>
    <x v="0"/>
    <s v="Sales"/>
    <s v="Corporate"/>
    <s v="Male"/>
    <n v="55"/>
    <s v="55-65"/>
    <d v="2013-11-16T00:00:00"/>
    <n v="124129"/>
    <n v="0.15"/>
    <n v="142748.35"/>
    <s v="Brazil"/>
    <s v="Sao Paulo"/>
    <m/>
    <n v="241"/>
    <n v="0"/>
    <s v="EMP-"/>
    <n v="12"/>
    <s v="Active"/>
  </r>
  <r>
    <s v="EMP-242"/>
    <x v="22"/>
    <s v="Engineering"/>
    <s v="Manufacturing"/>
    <s v="Male"/>
    <n v="36"/>
    <s v="35-45"/>
    <d v="2009-04-09T00:00:00"/>
    <n v="60055"/>
    <n v="0"/>
    <n v="60055"/>
    <s v="United States"/>
    <s v="Seattle"/>
    <m/>
    <n v="242"/>
    <n v="0"/>
    <s v="EMP-"/>
    <n v="16"/>
    <s v="Active"/>
  </r>
  <r>
    <s v="EMP-243"/>
    <x v="2"/>
    <s v="Engineering"/>
    <s v="Research &amp; Development"/>
    <s v="Male"/>
    <n v="31"/>
    <s v="25-35"/>
    <d v="2020-08-26T00:00:00"/>
    <n v="189290"/>
    <n v="0.22"/>
    <n v="230933.8"/>
    <s v="Brazil"/>
    <s v="Sao Paulo"/>
    <d v="2020-09-25T00:00:00"/>
    <n v="243"/>
    <n v="1"/>
    <s v="EMP-"/>
    <n v="0"/>
    <s v="Inactive"/>
  </r>
  <r>
    <s v="EMP-244"/>
    <x v="9"/>
    <s v="IT"/>
    <s v="Corporate"/>
    <s v="Female"/>
    <n v="53"/>
    <s v="45-55"/>
    <d v="2008-04-30T00:00:00"/>
    <n v="182202"/>
    <n v="0.3"/>
    <n v="236862.6"/>
    <s v="United States"/>
    <s v="Austin"/>
    <m/>
    <n v="244"/>
    <n v="0"/>
    <s v="EMP-"/>
    <n v="17"/>
    <s v="Active"/>
  </r>
  <r>
    <s v="EMP-245"/>
    <x v="6"/>
    <s v="Sales"/>
    <s v="Speciality Products"/>
    <s v="Male"/>
    <n v="43"/>
    <s v="35-45"/>
    <d v="2006-01-31T00:00:00"/>
    <n v="117518"/>
    <n v="7.0000000000000007E-2"/>
    <n v="125744.26"/>
    <s v="United States"/>
    <s v="Seattle"/>
    <m/>
    <n v="245"/>
    <n v="0"/>
    <s v="EMP-"/>
    <n v="20"/>
    <s v="Active"/>
  </r>
  <r>
    <s v="EMP-246"/>
    <x v="0"/>
    <s v="Finance"/>
    <s v="Manufacturing"/>
    <s v="Female"/>
    <n v="37"/>
    <s v="35-45"/>
    <d v="2013-02-24T00:00:00"/>
    <n v="157474"/>
    <n v="0.11"/>
    <n v="174796.14"/>
    <s v="Brazil"/>
    <s v="Rio de Janerio"/>
    <m/>
    <n v="246"/>
    <n v="0"/>
    <s v="EMP-"/>
    <n v="13"/>
    <s v="Active"/>
  </r>
  <r>
    <s v="EMP-247"/>
    <x v="6"/>
    <s v="Marketing"/>
    <s v="Manufacturing"/>
    <s v="Male"/>
    <n v="38"/>
    <s v="35-45"/>
    <d v="2008-04-06T00:00:00"/>
    <n v="126856"/>
    <n v="0.06"/>
    <n v="134467.35999999999"/>
    <s v="United States"/>
    <s v="Columbus"/>
    <m/>
    <n v="247"/>
    <n v="0"/>
    <s v="EMP-"/>
    <n v="17"/>
    <s v="Active"/>
  </r>
  <r>
    <s v="EMP-248"/>
    <x v="0"/>
    <s v="Accounting"/>
    <s v="Manufacturing"/>
    <s v="Female"/>
    <n v="49"/>
    <s v="45-55"/>
    <d v="2001-04-02T00:00:00"/>
    <n v="129124"/>
    <n v="0.12"/>
    <n v="144618.88"/>
    <s v="China"/>
    <s v="Shanghai"/>
    <m/>
    <n v="248"/>
    <n v="0"/>
    <s v="EMP-"/>
    <n v="24"/>
    <s v="Active"/>
  </r>
  <r>
    <s v="EMP-249"/>
    <x v="2"/>
    <s v="Sales"/>
    <s v="Research &amp; Development"/>
    <s v="Female"/>
    <n v="45"/>
    <s v="45-55"/>
    <d v="2002-03-01T00:00:00"/>
    <n v="165181"/>
    <n v="0.16"/>
    <n v="191609.96"/>
    <s v="United States"/>
    <s v="Seattle"/>
    <m/>
    <n v="249"/>
    <n v="0"/>
    <s v="EMP-"/>
    <n v="24"/>
    <s v="Active"/>
  </r>
  <r>
    <s v="EMP-250"/>
    <x v="9"/>
    <s v="Finance"/>
    <s v="Corporate"/>
    <s v="Male"/>
    <n v="50"/>
    <s v="45-55"/>
    <d v="2004-01-18T00:00:00"/>
    <n v="247939"/>
    <n v="0.35"/>
    <n v="334717.65000000002"/>
    <s v="Brazil"/>
    <s v="Rio de Janerio"/>
    <m/>
    <n v="250"/>
    <n v="0"/>
    <s v="EMP-"/>
    <n v="22"/>
    <s v="Active"/>
  </r>
  <r>
    <s v="EMP-251"/>
    <x v="2"/>
    <s v="Engineering"/>
    <s v="Speciality Products"/>
    <s v="Male"/>
    <n v="64"/>
    <s v="55-65"/>
    <d v="2017-08-25T00:00:00"/>
    <n v="169509"/>
    <n v="0.18"/>
    <n v="200020.62"/>
    <s v="Brazil"/>
    <s v="Manaus"/>
    <m/>
    <n v="251"/>
    <n v="0"/>
    <s v="EMP-"/>
    <n v="8"/>
    <s v="Active"/>
  </r>
  <r>
    <s v="EMP-252"/>
    <x v="0"/>
    <s v="Accounting"/>
    <s v="Manufacturing"/>
    <s v="Female"/>
    <n v="55"/>
    <s v="55-65"/>
    <d v="2011-01-09T00:00:00"/>
    <n v="138521"/>
    <n v="0.1"/>
    <n v="152373.1"/>
    <s v="United States"/>
    <s v="Miami"/>
    <m/>
    <n v="252"/>
    <n v="0"/>
    <s v="EMP-"/>
    <n v="15"/>
    <s v="Active"/>
  </r>
  <r>
    <s v="EMP-253"/>
    <x v="11"/>
    <s v="Engineering"/>
    <s v="Speciality Products"/>
    <s v="Female"/>
    <n v="45"/>
    <s v="45-55"/>
    <d v="2014-03-14T00:00:00"/>
    <n v="113873"/>
    <n v="0.11"/>
    <n v="126399.03"/>
    <s v="Brazil"/>
    <s v="Rio de Janerio"/>
    <m/>
    <n v="253"/>
    <n v="0"/>
    <s v="EMP-"/>
    <n v="12"/>
    <s v="Active"/>
  </r>
  <r>
    <s v="EMP-254"/>
    <x v="14"/>
    <s v="IT"/>
    <s v="Corporate"/>
    <s v="Female"/>
    <n v="39"/>
    <s v="35-45"/>
    <d v="2018-05-09T00:00:00"/>
    <n v="73317"/>
    <n v="0"/>
    <n v="73317"/>
    <s v="United States"/>
    <s v="Miami"/>
    <m/>
    <n v="254"/>
    <n v="0"/>
    <s v="EMP-"/>
    <n v="7"/>
    <s v="Active"/>
  </r>
  <r>
    <s v="EMP-255"/>
    <x v="31"/>
    <s v="IT"/>
    <s v="Speciality Products"/>
    <s v="Female"/>
    <n v="40"/>
    <s v="35-45"/>
    <d v="2013-06-26T00:00:00"/>
    <n v="69096"/>
    <n v="0"/>
    <n v="69096"/>
    <s v="United States"/>
    <s v="Seattle"/>
    <m/>
    <n v="255"/>
    <n v="0"/>
    <s v="EMP-"/>
    <n v="12"/>
    <s v="Active"/>
  </r>
  <r>
    <s v="EMP-256"/>
    <x v="15"/>
    <s v="Human Resources"/>
    <s v="Manufacturing"/>
    <s v="Male"/>
    <n v="48"/>
    <s v="45-55"/>
    <d v="2005-04-12T00:00:00"/>
    <n v="87158"/>
    <n v="0"/>
    <n v="87158"/>
    <s v="Brazil"/>
    <s v="Manaus"/>
    <m/>
    <n v="256"/>
    <n v="0"/>
    <s v="EMP-"/>
    <n v="20"/>
    <s v="Active"/>
  </r>
  <r>
    <s v="EMP-257"/>
    <x v="22"/>
    <s v="Engineering"/>
    <s v="Corporate"/>
    <s v="Male"/>
    <n v="64"/>
    <s v="55-65"/>
    <d v="1992-09-28T00:00:00"/>
    <n v="70778"/>
    <n v="0"/>
    <n v="70778"/>
    <s v="United States"/>
    <s v="Austin"/>
    <m/>
    <n v="257"/>
    <n v="0"/>
    <s v="EMP-"/>
    <n v="33"/>
    <s v="Active"/>
  </r>
  <r>
    <s v="EMP-258"/>
    <x v="2"/>
    <s v="Human Resources"/>
    <s v="Speciality Products"/>
    <s v="Female"/>
    <n v="65"/>
    <s v="65-100"/>
    <d v="2004-05-23T00:00:00"/>
    <n v="153938"/>
    <n v="0.2"/>
    <n v="184725.6"/>
    <s v="United States"/>
    <s v="Phoenix"/>
    <m/>
    <n v="258"/>
    <n v="0"/>
    <s v="EMP-"/>
    <n v="21"/>
    <s v="Active"/>
  </r>
  <r>
    <s v="EMP-259"/>
    <x v="28"/>
    <s v="IT"/>
    <s v="Research &amp; Development"/>
    <s v="Male"/>
    <n v="43"/>
    <s v="35-45"/>
    <d v="2018-05-04T00:00:00"/>
    <n v="59888"/>
    <n v="0"/>
    <n v="59888"/>
    <s v="China"/>
    <s v="Beijing"/>
    <m/>
    <n v="259"/>
    <n v="0"/>
    <s v="EMP-"/>
    <n v="7"/>
    <s v="Active"/>
  </r>
  <r>
    <s v="EMP-260"/>
    <x v="22"/>
    <s v="Engineering"/>
    <s v="Corporate"/>
    <s v="Male"/>
    <n v="50"/>
    <s v="45-55"/>
    <d v="2018-12-13T00:00:00"/>
    <n v="63098"/>
    <n v="0"/>
    <n v="63098"/>
    <s v="United States"/>
    <s v="Columbus"/>
    <m/>
    <n v="260"/>
    <n v="0"/>
    <s v="EMP-"/>
    <n v="7"/>
    <s v="Active"/>
  </r>
  <r>
    <s v="EMP-261"/>
    <x v="9"/>
    <s v="Finance"/>
    <s v="Corporate"/>
    <s v="Female"/>
    <n v="27"/>
    <s v="25-35"/>
    <d v="2021-12-15T00:00:00"/>
    <n v="255369"/>
    <n v="0.33"/>
    <n v="339640.77"/>
    <s v="Brazil"/>
    <s v="Sao Paulo"/>
    <m/>
    <n v="261"/>
    <n v="0"/>
    <s v="EMP-"/>
    <n v="4"/>
    <s v="Active"/>
  </r>
  <r>
    <s v="EMP-262"/>
    <x v="0"/>
    <s v="Human Resources"/>
    <s v="Manufacturing"/>
    <s v="Female"/>
    <n v="55"/>
    <s v="55-65"/>
    <d v="2004-11-10T00:00:00"/>
    <n v="142318"/>
    <n v="0.14000000000000001"/>
    <n v="162242.51999999999"/>
    <s v="United States"/>
    <s v="Chicago"/>
    <m/>
    <n v="262"/>
    <n v="0"/>
    <s v="EMP-"/>
    <n v="21"/>
    <s v="Active"/>
  </r>
  <r>
    <s v="EMP-263"/>
    <x v="20"/>
    <s v="Human Resources"/>
    <s v="Manufacturing"/>
    <s v="Male"/>
    <n v="41"/>
    <s v="35-45"/>
    <d v="2004-08-20T00:00:00"/>
    <n v="49186"/>
    <n v="0"/>
    <n v="49186"/>
    <s v="United States"/>
    <s v="Austin"/>
    <d v="2008-06-17T00:00:00"/>
    <n v="263"/>
    <n v="1"/>
    <s v="EMP-"/>
    <n v="3"/>
    <s v="Inactive"/>
  </r>
  <r>
    <s v="EMP-264"/>
    <x v="9"/>
    <s v="Human Resources"/>
    <s v="Research &amp; Development"/>
    <s v="Female"/>
    <n v="34"/>
    <s v="25-35"/>
    <d v="2019-07-27T00:00:00"/>
    <n v="220937"/>
    <n v="0.38"/>
    <n v="304893.06"/>
    <s v="United States"/>
    <s v="Austin"/>
    <m/>
    <n v="264"/>
    <n v="0"/>
    <s v="EMP-"/>
    <n v="6"/>
    <s v="Active"/>
  </r>
  <r>
    <s v="EMP-265"/>
    <x v="2"/>
    <s v="IT"/>
    <s v="Speciality Products"/>
    <s v="Female"/>
    <n v="47"/>
    <s v="45-55"/>
    <d v="2012-10-26T00:00:00"/>
    <n v="183156"/>
    <n v="0.3"/>
    <n v="238102.8"/>
    <s v="United States"/>
    <s v="Seattle"/>
    <m/>
    <n v="265"/>
    <n v="0"/>
    <s v="EMP-"/>
    <n v="13"/>
    <s v="Active"/>
  </r>
  <r>
    <s v="EMP-266"/>
    <x v="9"/>
    <s v="IT"/>
    <s v="Speciality Products"/>
    <s v="Female"/>
    <n v="32"/>
    <s v="25-35"/>
    <d v="2020-07-22T00:00:00"/>
    <n v="192749"/>
    <n v="0.31"/>
    <n v="252501.19"/>
    <s v="United States"/>
    <s v="Chicago"/>
    <m/>
    <n v="266"/>
    <n v="0"/>
    <s v="EMP-"/>
    <n v="5"/>
    <s v="Active"/>
  </r>
  <r>
    <s v="EMP-267"/>
    <x v="0"/>
    <s v="IT"/>
    <s v="Manufacturing"/>
    <s v="Female"/>
    <n v="39"/>
    <s v="35-45"/>
    <d v="2017-03-25T00:00:00"/>
    <n v="135325"/>
    <n v="0.14000000000000001"/>
    <n v="154270.5"/>
    <s v="United States"/>
    <s v="Phoenix"/>
    <m/>
    <n v="267"/>
    <n v="0"/>
    <s v="EMP-"/>
    <n v="8"/>
    <s v="Active"/>
  </r>
  <r>
    <s v="EMP-268"/>
    <x v="4"/>
    <s v="Sales"/>
    <s v="Speciality Products"/>
    <s v="Female"/>
    <n v="26"/>
    <s v="25-35"/>
    <d v="2019-10-14T00:00:00"/>
    <n v="79356"/>
    <n v="0"/>
    <n v="79356"/>
    <s v="United States"/>
    <s v="Phoenix"/>
    <m/>
    <n v="268"/>
    <n v="0"/>
    <s v="EMP-"/>
    <n v="6"/>
    <s v="Active"/>
  </r>
  <r>
    <s v="EMP-269"/>
    <x v="25"/>
    <s v="Engineering"/>
    <s v="Manufacturing"/>
    <s v="Male"/>
    <n v="40"/>
    <s v="35-45"/>
    <d v="2005-07-07T00:00:00"/>
    <n v="74412"/>
    <n v="0"/>
    <n v="74412"/>
    <s v="United States"/>
    <s v="Seattle"/>
    <m/>
    <n v="269"/>
    <n v="0"/>
    <s v="EMP-"/>
    <n v="20"/>
    <s v="Active"/>
  </r>
  <r>
    <s v="EMP-270"/>
    <x v="3"/>
    <s v="IT"/>
    <s v="Manufacturing"/>
    <s v="Female"/>
    <n v="32"/>
    <s v="25-35"/>
    <d v="2017-10-02T00:00:00"/>
    <n v="61886"/>
    <n v="0.09"/>
    <n v="67455.740000000005"/>
    <s v="Brazil"/>
    <s v="Rio de Janerio"/>
    <m/>
    <n v="270"/>
    <n v="0"/>
    <s v="EMP-"/>
    <n v="8"/>
    <s v="Active"/>
  </r>
  <r>
    <s v="EMP-271"/>
    <x v="2"/>
    <s v="Accounting"/>
    <s v="Research &amp; Development"/>
    <s v="Female"/>
    <n v="58"/>
    <s v="55-65"/>
    <d v="2003-05-14T00:00:00"/>
    <n v="173071"/>
    <n v="0.28999999999999998"/>
    <n v="223261.59"/>
    <s v="United States"/>
    <s v="Columbus"/>
    <m/>
    <n v="271"/>
    <n v="0"/>
    <s v="EMP-"/>
    <n v="22"/>
    <s v="Active"/>
  </r>
  <r>
    <s v="EMP-272"/>
    <x v="17"/>
    <s v="Engineering"/>
    <s v="Research &amp; Development"/>
    <s v="Female"/>
    <n v="58"/>
    <s v="55-65"/>
    <d v="1995-10-27T00:00:00"/>
    <n v="70189"/>
    <n v="0"/>
    <n v="70189"/>
    <s v="United States"/>
    <s v="Columbus"/>
    <m/>
    <n v="272"/>
    <n v="0"/>
    <s v="EMP-"/>
    <n v="30"/>
    <s v="Active"/>
  </r>
  <r>
    <s v="EMP-273"/>
    <x v="9"/>
    <s v="Sales"/>
    <s v="Research &amp; Development"/>
    <s v="Female"/>
    <n v="42"/>
    <s v="35-45"/>
    <d v="2013-09-11T00:00:00"/>
    <n v="181452"/>
    <n v="0.3"/>
    <n v="235887.6"/>
    <s v="United States"/>
    <s v="Columbus"/>
    <m/>
    <n v="273"/>
    <n v="0"/>
    <s v="EMP-"/>
    <n v="12"/>
    <s v="Active"/>
  </r>
  <r>
    <s v="EMP-274"/>
    <x v="16"/>
    <s v="Human Resources"/>
    <s v="Speciality Products"/>
    <s v="Male"/>
    <n v="26"/>
    <s v="25-35"/>
    <d v="2021-03-12T00:00:00"/>
    <n v="70369"/>
    <n v="0"/>
    <n v="70369"/>
    <s v="United States"/>
    <s v="Seattle"/>
    <m/>
    <n v="274"/>
    <n v="0"/>
    <s v="EMP-"/>
    <n v="5"/>
    <s v="Active"/>
  </r>
  <r>
    <s v="EMP-275"/>
    <x v="4"/>
    <s v="Accounting"/>
    <s v="Manufacturing"/>
    <s v="Male"/>
    <n v="38"/>
    <s v="35-45"/>
    <d v="2008-07-05T00:00:00"/>
    <n v="78056"/>
    <n v="0"/>
    <n v="78056"/>
    <s v="Brazil"/>
    <s v="Sao Paulo"/>
    <m/>
    <n v="275"/>
    <n v="0"/>
    <s v="EMP-"/>
    <n v="17"/>
    <s v="Active"/>
  </r>
  <r>
    <s v="EMP-276"/>
    <x v="2"/>
    <s v="Finance"/>
    <s v="Research &amp; Development"/>
    <s v="Male"/>
    <n v="64"/>
    <s v="55-65"/>
    <d v="1996-05-02T00:00:00"/>
    <n v="189933"/>
    <n v="0.23"/>
    <n v="233617.59"/>
    <s v="United States"/>
    <s v="Miami"/>
    <m/>
    <n v="276"/>
    <n v="0"/>
    <s v="EMP-"/>
    <n v="29"/>
    <s v="Active"/>
  </r>
  <r>
    <s v="EMP-277"/>
    <x v="18"/>
    <s v="Engineering"/>
    <s v="Speciality Products"/>
    <s v="Male"/>
    <n v="38"/>
    <s v="35-45"/>
    <d v="2010-07-01T00:00:00"/>
    <n v="78237"/>
    <n v="0"/>
    <n v="78237"/>
    <s v="United States"/>
    <s v="Phoenix"/>
    <m/>
    <n v="277"/>
    <n v="0"/>
    <s v="EMP-"/>
    <n v="15"/>
    <s v="Active"/>
  </r>
  <r>
    <s v="EMP-278"/>
    <x v="7"/>
    <s v="Accounting"/>
    <s v="Research &amp; Development"/>
    <s v="Female"/>
    <n v="55"/>
    <s v="55-65"/>
    <d v="1996-06-26T00:00:00"/>
    <n v="48687"/>
    <n v="0"/>
    <n v="48687"/>
    <s v="Brazil"/>
    <s v="Rio de Janerio"/>
    <m/>
    <n v="278"/>
    <n v="0"/>
    <s v="EMP-"/>
    <n v="29"/>
    <s v="Active"/>
  </r>
  <r>
    <s v="EMP-279"/>
    <x v="0"/>
    <s v="Marketing"/>
    <s v="Manufacturing"/>
    <s v="Female"/>
    <n v="45"/>
    <s v="45-55"/>
    <d v="2004-08-19T00:00:00"/>
    <n v="121065"/>
    <n v="0.15"/>
    <n v="139224.75"/>
    <s v="Brazil"/>
    <s v="Rio de Janerio"/>
    <m/>
    <n v="279"/>
    <n v="0"/>
    <s v="EMP-"/>
    <n v="21"/>
    <s v="Active"/>
  </r>
  <r>
    <s v="EMP-280"/>
    <x v="4"/>
    <s v="Sales"/>
    <s v="Corporate"/>
    <s v="Male"/>
    <n v="43"/>
    <s v="35-45"/>
    <d v="2004-04-16T00:00:00"/>
    <n v="94246"/>
    <n v="0"/>
    <n v="94246"/>
    <s v="United States"/>
    <s v="Austin"/>
    <m/>
    <n v="280"/>
    <n v="0"/>
    <s v="EMP-"/>
    <n v="21"/>
    <s v="Active"/>
  </r>
  <r>
    <s v="EMP-281"/>
    <x v="28"/>
    <s v="IT"/>
    <s v="Manufacturing"/>
    <s v="Female"/>
    <n v="34"/>
    <s v="25-35"/>
    <d v="2016-05-22T00:00:00"/>
    <n v="44614"/>
    <n v="0"/>
    <n v="44614"/>
    <s v="United States"/>
    <s v="Miami"/>
    <m/>
    <n v="281"/>
    <n v="0"/>
    <s v="EMP-"/>
    <n v="9"/>
    <s v="Active"/>
  </r>
  <r>
    <s v="EMP-282"/>
    <x v="9"/>
    <s v="IT"/>
    <s v="Research &amp; Development"/>
    <s v="Male"/>
    <n v="40"/>
    <s v="35-45"/>
    <d v="2020-11-08T00:00:00"/>
    <n v="234469"/>
    <n v="0.31"/>
    <n v="307154.39"/>
    <s v="China"/>
    <s v="Chengdu"/>
    <m/>
    <n v="282"/>
    <n v="0"/>
    <s v="EMP-"/>
    <n v="5"/>
    <s v="Active"/>
  </r>
  <r>
    <s v="EMP-283"/>
    <x v="18"/>
    <s v="Engineering"/>
    <s v="Research &amp; Development"/>
    <s v="Male"/>
    <n v="52"/>
    <s v="45-55"/>
    <d v="2020-07-10T00:00:00"/>
    <n v="88272"/>
    <n v="0"/>
    <n v="88272"/>
    <s v="Brazil"/>
    <s v="Sao Paulo"/>
    <m/>
    <n v="283"/>
    <n v="0"/>
    <s v="EMP-"/>
    <n v="5"/>
    <s v="Active"/>
  </r>
  <r>
    <s v="EMP-284"/>
    <x v="13"/>
    <s v="Finance"/>
    <s v="Corporate"/>
    <s v="Male"/>
    <n v="52"/>
    <s v="45-55"/>
    <d v="2017-09-14T00:00:00"/>
    <n v="74449"/>
    <n v="0"/>
    <n v="74449"/>
    <s v="China"/>
    <s v="Beijing"/>
    <m/>
    <n v="284"/>
    <n v="0"/>
    <s v="EMP-"/>
    <n v="8"/>
    <s v="Active"/>
  </r>
  <r>
    <s v="EMP-285"/>
    <x v="9"/>
    <s v="Engineering"/>
    <s v="Speciality Products"/>
    <s v="Male"/>
    <n v="47"/>
    <s v="45-55"/>
    <d v="2012-06-11T00:00:00"/>
    <n v="222941"/>
    <n v="0.39"/>
    <n v="309887.99"/>
    <s v="China"/>
    <s v="Beijing"/>
    <m/>
    <n v="285"/>
    <n v="0"/>
    <s v="EMP-"/>
    <n v="13"/>
    <s v="Active"/>
  </r>
  <r>
    <s v="EMP-286"/>
    <x v="7"/>
    <s v="Marketing"/>
    <s v="Manufacturing"/>
    <s v="Female"/>
    <n v="65"/>
    <s v="65-100"/>
    <d v="2013-09-26T00:00:00"/>
    <n v="50341"/>
    <n v="0"/>
    <n v="50341"/>
    <s v="China"/>
    <s v="Beijing"/>
    <m/>
    <n v="286"/>
    <n v="0"/>
    <s v="EMP-"/>
    <n v="12"/>
    <s v="Active"/>
  </r>
  <r>
    <s v="EMP-287"/>
    <x v="16"/>
    <s v="Human Resources"/>
    <s v="Corporate"/>
    <s v="Female"/>
    <n v="31"/>
    <s v="25-35"/>
    <d v="2021-04-11T00:00:00"/>
    <n v="72235"/>
    <n v="0"/>
    <n v="72235"/>
    <s v="Brazil"/>
    <s v="Manaus"/>
    <m/>
    <n v="287"/>
    <n v="0"/>
    <s v="EMP-"/>
    <n v="4"/>
    <s v="Active"/>
  </r>
  <r>
    <s v="EMP-288"/>
    <x v="4"/>
    <s v="Accounting"/>
    <s v="Corporate"/>
    <s v="Female"/>
    <n v="41"/>
    <s v="35-45"/>
    <d v="2016-06-12T00:00:00"/>
    <n v="70165"/>
    <n v="0"/>
    <n v="70165"/>
    <s v="United States"/>
    <s v="Columbus"/>
    <m/>
    <n v="288"/>
    <n v="0"/>
    <s v="EMP-"/>
    <n v="9"/>
    <s v="Active"/>
  </r>
  <r>
    <s v="EMP-289"/>
    <x v="0"/>
    <s v="Marketing"/>
    <s v="Speciality Products"/>
    <s v="Male"/>
    <n v="30"/>
    <s v="25-35"/>
    <d v="2020-07-18T00:00:00"/>
    <n v="148485"/>
    <n v="0.15"/>
    <n v="170757.75"/>
    <s v="United States"/>
    <s v="Miami"/>
    <m/>
    <n v="289"/>
    <n v="0"/>
    <s v="EMP-"/>
    <n v="5"/>
    <s v="Active"/>
  </r>
  <r>
    <s v="EMP-290"/>
    <x v="1"/>
    <s v="IT"/>
    <s v="Manufacturing"/>
    <s v="Female"/>
    <n v="58"/>
    <s v="55-65"/>
    <d v="2005-06-18T00:00:00"/>
    <n v="86089"/>
    <n v="0"/>
    <n v="86089"/>
    <s v="United States"/>
    <s v="Chicago"/>
    <m/>
    <n v="290"/>
    <n v="0"/>
    <s v="EMP-"/>
    <n v="20"/>
    <s v="Active"/>
  </r>
  <r>
    <s v="EMP-291"/>
    <x v="11"/>
    <s v="Engineering"/>
    <s v="Research &amp; Development"/>
    <s v="Male"/>
    <n v="54"/>
    <s v="45-55"/>
    <d v="2007-10-27T00:00:00"/>
    <n v="106313"/>
    <n v="0.15"/>
    <n v="122259.95"/>
    <s v="United States"/>
    <s v="Chicago"/>
    <m/>
    <n v="291"/>
    <n v="0"/>
    <s v="EMP-"/>
    <n v="18"/>
    <s v="Active"/>
  </r>
  <r>
    <s v="EMP-292"/>
    <x v="7"/>
    <s v="Marketing"/>
    <s v="Research &amp; Development"/>
    <s v="Female"/>
    <n v="40"/>
    <s v="35-45"/>
    <d v="2021-02-24T00:00:00"/>
    <n v="46833"/>
    <n v="0"/>
    <n v="46833"/>
    <s v="China"/>
    <s v="Chengdu"/>
    <d v="2021-11-10T00:00:00"/>
    <n v="292"/>
    <n v="1"/>
    <s v="EMP-"/>
    <n v="0"/>
    <s v="Inactive"/>
  </r>
  <r>
    <s v="EMP-293"/>
    <x v="2"/>
    <s v="Finance"/>
    <s v="Research &amp; Development"/>
    <s v="Female"/>
    <n v="63"/>
    <s v="55-65"/>
    <d v="2000-10-27T00:00:00"/>
    <n v="155320"/>
    <n v="0.17"/>
    <n v="181724.4"/>
    <s v="China"/>
    <s v="Chongqing"/>
    <m/>
    <n v="293"/>
    <n v="0"/>
    <s v="EMP-"/>
    <n v="25"/>
    <s v="Active"/>
  </r>
  <r>
    <s v="EMP-294"/>
    <x v="4"/>
    <s v="Accounting"/>
    <s v="Manufacturing"/>
    <s v="Male"/>
    <n v="40"/>
    <s v="35-45"/>
    <d v="2016-01-15T00:00:00"/>
    <n v="89984"/>
    <n v="0"/>
    <n v="89984"/>
    <s v="China"/>
    <s v="Chengdu"/>
    <m/>
    <n v="294"/>
    <n v="0"/>
    <s v="EMP-"/>
    <n v="10"/>
    <s v="Active"/>
  </r>
  <r>
    <s v="EMP-295"/>
    <x v="11"/>
    <s v="Engineering"/>
    <s v="Speciality Products"/>
    <s v="Female"/>
    <n v="65"/>
    <s v="65-100"/>
    <d v="2006-03-16T00:00:00"/>
    <n v="83756"/>
    <n v="0.14000000000000001"/>
    <n v="95481.84"/>
    <s v="China"/>
    <s v="Shanghai"/>
    <m/>
    <n v="295"/>
    <n v="0"/>
    <s v="EMP-"/>
    <n v="20"/>
    <s v="Active"/>
  </r>
  <r>
    <s v="EMP-296"/>
    <x v="2"/>
    <s v="Human Resources"/>
    <s v="Corporate"/>
    <s v="Female"/>
    <n v="57"/>
    <s v="55-65"/>
    <d v="2016-10-24T00:00:00"/>
    <n v="176324"/>
    <n v="0.23"/>
    <n v="216878.52000000002"/>
    <s v="China"/>
    <s v="Shanghai"/>
    <m/>
    <n v="296"/>
    <n v="0"/>
    <s v="EMP-"/>
    <n v="9"/>
    <s v="Active"/>
  </r>
  <r>
    <s v="EMP-297"/>
    <x v="4"/>
    <s v="Accounting"/>
    <s v="Speciality Products"/>
    <s v="Male"/>
    <n v="27"/>
    <s v="25-35"/>
    <d v="2021-10-13T00:00:00"/>
    <n v="74077"/>
    <n v="0"/>
    <n v="74077"/>
    <s v="United States"/>
    <s v="Seattle"/>
    <m/>
    <n v="297"/>
    <n v="0"/>
    <s v="EMP-"/>
    <n v="4"/>
    <s v="Active"/>
  </r>
  <r>
    <s v="EMP-298"/>
    <x v="6"/>
    <s v="Human Resources"/>
    <s v="Manufacturing"/>
    <s v="Female"/>
    <n v="31"/>
    <s v="25-35"/>
    <d v="2021-01-18T00:00:00"/>
    <n v="104162"/>
    <n v="7.0000000000000007E-2"/>
    <n v="111453.34"/>
    <s v="United States"/>
    <s v="Austin"/>
    <m/>
    <n v="298"/>
    <n v="0"/>
    <s v="EMP-"/>
    <n v="5"/>
    <s v="Active"/>
  </r>
  <r>
    <s v="EMP-299"/>
    <x v="30"/>
    <s v="IT"/>
    <s v="Corporate"/>
    <s v="Female"/>
    <n v="45"/>
    <s v="45-55"/>
    <d v="2010-08-28T00:00:00"/>
    <n v="82162"/>
    <n v="0"/>
    <n v="82162"/>
    <s v="China"/>
    <s v="Beijing"/>
    <d v="2020-10-03T00:00:00"/>
    <n v="299"/>
    <n v="1"/>
    <s v="EMP-"/>
    <n v="10"/>
    <s v="Inactive"/>
  </r>
  <r>
    <s v="EMP-300"/>
    <x v="5"/>
    <s v="Sales"/>
    <s v="Speciality Products"/>
    <s v="Female"/>
    <n v="47"/>
    <s v="45-55"/>
    <d v="2015-07-10T00:00:00"/>
    <n v="63880"/>
    <n v="0"/>
    <n v="63880"/>
    <s v="China"/>
    <s v="Chongqing"/>
    <m/>
    <n v="300"/>
    <n v="0"/>
    <s v="EMP-"/>
    <n v="10"/>
    <s v="Active"/>
  </r>
  <r>
    <s v="EMP-301"/>
    <x v="22"/>
    <s v="Engineering"/>
    <s v="Research &amp; Development"/>
    <s v="Female"/>
    <n v="55"/>
    <s v="55-65"/>
    <d v="2013-09-08T00:00:00"/>
    <n v="73248"/>
    <n v="0"/>
    <n v="73248"/>
    <s v="United States"/>
    <s v="Columbus"/>
    <m/>
    <n v="301"/>
    <n v="0"/>
    <s v="EMP-"/>
    <n v="12"/>
    <s v="Active"/>
  </r>
  <r>
    <s v="EMP-302"/>
    <x v="4"/>
    <s v="Accounting"/>
    <s v="Manufacturing"/>
    <s v="Male"/>
    <n v="51"/>
    <s v="45-55"/>
    <d v="2020-10-09T00:00:00"/>
    <n v="91853"/>
    <n v="0"/>
    <n v="91853"/>
    <s v="United States"/>
    <s v="Chicago"/>
    <m/>
    <n v="302"/>
    <n v="0"/>
    <s v="EMP-"/>
    <n v="5"/>
    <s v="Active"/>
  </r>
  <r>
    <s v="EMP-303"/>
    <x v="2"/>
    <s v="Finance"/>
    <s v="Speciality Products"/>
    <s v="Male"/>
    <n v="25"/>
    <s v="25-35"/>
    <d v="2020-01-14T00:00:00"/>
    <n v="168014"/>
    <n v="0.27"/>
    <n v="213377.78"/>
    <s v="United States"/>
    <s v="Chicago"/>
    <d v="2021-07-27T00:00:00"/>
    <n v="303"/>
    <n v="1"/>
    <s v="EMP-"/>
    <n v="1"/>
    <s v="Inactive"/>
  </r>
  <r>
    <s v="EMP-304"/>
    <x v="25"/>
    <s v="Engineering"/>
    <s v="Corporate"/>
    <s v="Female"/>
    <n v="37"/>
    <s v="35-45"/>
    <d v="2017-09-17T00:00:00"/>
    <n v="70770"/>
    <n v="0"/>
    <n v="70770"/>
    <s v="United States"/>
    <s v="Miami"/>
    <m/>
    <n v="304"/>
    <n v="0"/>
    <s v="EMP-"/>
    <n v="8"/>
    <s v="Active"/>
  </r>
  <r>
    <s v="EMP-305"/>
    <x v="16"/>
    <s v="Human Resources"/>
    <s v="Corporate"/>
    <s v="Male"/>
    <n v="62"/>
    <s v="55-65"/>
    <d v="2004-10-11T00:00:00"/>
    <n v="50825"/>
    <n v="0"/>
    <n v="50825"/>
    <s v="United States"/>
    <s v="Seattle"/>
    <m/>
    <n v="305"/>
    <n v="0"/>
    <s v="EMP-"/>
    <n v="21"/>
    <s v="Active"/>
  </r>
  <r>
    <s v="EMP-306"/>
    <x v="0"/>
    <s v="Finance"/>
    <s v="Research &amp; Development"/>
    <s v="Male"/>
    <n v="31"/>
    <s v="25-35"/>
    <d v="2015-09-19T00:00:00"/>
    <n v="145846"/>
    <n v="0.15"/>
    <n v="167722.9"/>
    <s v="Brazil"/>
    <s v="Manaus"/>
    <m/>
    <n v="306"/>
    <n v="0"/>
    <s v="EMP-"/>
    <n v="10"/>
    <s v="Active"/>
  </r>
  <r>
    <s v="EMP-307"/>
    <x v="0"/>
    <s v="Human Resources"/>
    <s v="Research &amp; Development"/>
    <s v="Female"/>
    <n v="64"/>
    <s v="55-65"/>
    <d v="2003-12-07T00:00:00"/>
    <n v="125807"/>
    <n v="0.15"/>
    <n v="144678.04999999999"/>
    <s v="United States"/>
    <s v="Chicago"/>
    <m/>
    <n v="307"/>
    <n v="0"/>
    <s v="EMP-"/>
    <n v="22"/>
    <s v="Active"/>
  </r>
  <r>
    <s v="EMP-308"/>
    <x v="7"/>
    <s v="Sales"/>
    <s v="Speciality Products"/>
    <s v="Male"/>
    <n v="25"/>
    <s v="25-35"/>
    <d v="2021-07-28T00:00:00"/>
    <n v="46845"/>
    <n v="0"/>
    <n v="46845"/>
    <s v="United States"/>
    <s v="Miami"/>
    <m/>
    <n v="308"/>
    <n v="0"/>
    <s v="EMP-"/>
    <n v="4"/>
    <s v="Active"/>
  </r>
  <r>
    <s v="EMP-309"/>
    <x v="0"/>
    <s v="Marketing"/>
    <s v="Corporate"/>
    <s v="Female"/>
    <n v="59"/>
    <s v="55-65"/>
    <d v="2008-08-29T00:00:00"/>
    <n v="157969"/>
    <n v="0.1"/>
    <n v="173765.9"/>
    <s v="China"/>
    <s v="Chongqing"/>
    <m/>
    <n v="309"/>
    <n v="0"/>
    <s v="EMP-"/>
    <n v="17"/>
    <s v="Active"/>
  </r>
  <r>
    <s v="EMP-310"/>
    <x v="29"/>
    <s v="IT"/>
    <s v="Corporate"/>
    <s v="Female"/>
    <n v="40"/>
    <s v="35-45"/>
    <d v="2010-12-10T00:00:00"/>
    <n v="97807"/>
    <n v="0"/>
    <n v="97807"/>
    <s v="United States"/>
    <s v="Chicago"/>
    <m/>
    <n v="310"/>
    <n v="0"/>
    <s v="EMP-"/>
    <n v="15"/>
    <s v="Active"/>
  </r>
  <r>
    <s v="EMP-311"/>
    <x v="16"/>
    <s v="Human Resources"/>
    <s v="Manufacturing"/>
    <s v="Male"/>
    <n v="31"/>
    <s v="25-35"/>
    <d v="2015-12-09T00:00:00"/>
    <n v="73854"/>
    <n v="0"/>
    <n v="73854"/>
    <s v="United States"/>
    <s v="Seattle"/>
    <m/>
    <n v="311"/>
    <n v="0"/>
    <s v="EMP-"/>
    <n v="10"/>
    <s v="Active"/>
  </r>
  <r>
    <s v="EMP-312"/>
    <x v="0"/>
    <s v="Accounting"/>
    <s v="Manufacturing"/>
    <s v="Male"/>
    <n v="45"/>
    <s v="45-55"/>
    <d v="2006-12-12T00:00:00"/>
    <n v="149537"/>
    <n v="0.14000000000000001"/>
    <n v="170472.18"/>
    <s v="United States"/>
    <s v="Seattle"/>
    <m/>
    <n v="312"/>
    <n v="0"/>
    <s v="EMP-"/>
    <n v="19"/>
    <s v="Active"/>
  </r>
  <r>
    <s v="EMP-313"/>
    <x v="0"/>
    <s v="Sales"/>
    <s v="Manufacturing"/>
    <s v="Female"/>
    <n v="49"/>
    <s v="45-55"/>
    <d v="2013-04-15T00:00:00"/>
    <n v="128303"/>
    <n v="0.15"/>
    <n v="147548.45000000001"/>
    <s v="United States"/>
    <s v="Phoenix"/>
    <m/>
    <n v="313"/>
    <n v="0"/>
    <s v="EMP-"/>
    <n v="12"/>
    <s v="Active"/>
  </r>
  <r>
    <s v="EMP-314"/>
    <x v="23"/>
    <s v="IT"/>
    <s v="Speciality Products"/>
    <s v="Male"/>
    <n v="46"/>
    <s v="45-55"/>
    <d v="2005-06-10T00:00:00"/>
    <n v="67374"/>
    <n v="0"/>
    <n v="67374"/>
    <s v="United States"/>
    <s v="Austin"/>
    <m/>
    <n v="314"/>
    <n v="0"/>
    <s v="EMP-"/>
    <n v="20"/>
    <s v="Active"/>
  </r>
  <r>
    <s v="EMP-315"/>
    <x v="6"/>
    <s v="Human Resources"/>
    <s v="Corporate"/>
    <s v="Male"/>
    <n v="46"/>
    <s v="45-55"/>
    <d v="2011-09-24T00:00:00"/>
    <n v="102167"/>
    <n v="0.06"/>
    <n v="108297.02"/>
    <s v="Brazil"/>
    <s v="Rio de Janerio"/>
    <m/>
    <n v="315"/>
    <n v="0"/>
    <s v="EMP-"/>
    <n v="14"/>
    <s v="Active"/>
  </r>
  <r>
    <s v="EMP-316"/>
    <x v="0"/>
    <s v="Sales"/>
    <s v="Manufacturing"/>
    <s v="Male"/>
    <n v="45"/>
    <s v="45-55"/>
    <d v="2007-09-07T00:00:00"/>
    <n v="151027"/>
    <n v="0.1"/>
    <n v="166129.70000000001"/>
    <s v="China"/>
    <s v="Shanghai"/>
    <m/>
    <n v="316"/>
    <n v="0"/>
    <s v="EMP-"/>
    <n v="18"/>
    <s v="Active"/>
  </r>
  <r>
    <s v="EMP-317"/>
    <x v="6"/>
    <s v="Accounting"/>
    <s v="Speciality Products"/>
    <s v="Male"/>
    <n v="40"/>
    <s v="35-45"/>
    <d v="2018-02-16T00:00:00"/>
    <n v="120905"/>
    <n v="0.05"/>
    <n v="126950.25"/>
    <s v="United States"/>
    <s v="Seattle"/>
    <m/>
    <n v="317"/>
    <n v="0"/>
    <s v="EMP-"/>
    <n v="8"/>
    <s v="Active"/>
  </r>
  <r>
    <s v="EMP-318"/>
    <x v="9"/>
    <s v="Finance"/>
    <s v="Manufacturing"/>
    <s v="Female"/>
    <n v="48"/>
    <s v="45-55"/>
    <d v="2018-06-02T00:00:00"/>
    <n v="231567"/>
    <n v="0.36"/>
    <n v="314931.12"/>
    <s v="United States"/>
    <s v="Seattle"/>
    <m/>
    <n v="318"/>
    <n v="0"/>
    <s v="EMP-"/>
    <n v="7"/>
    <s v="Active"/>
  </r>
  <r>
    <s v="EMP-319"/>
    <x v="9"/>
    <s v="IT"/>
    <s v="Research &amp; Development"/>
    <s v="Male"/>
    <n v="31"/>
    <s v="25-35"/>
    <d v="2015-07-12T00:00:00"/>
    <n v="215388"/>
    <n v="0.33"/>
    <n v="286466.04000000004"/>
    <s v="United States"/>
    <s v="Miami"/>
    <m/>
    <n v="319"/>
    <n v="0"/>
    <s v="EMP-"/>
    <n v="10"/>
    <s v="Active"/>
  </r>
  <r>
    <s v="EMP-320"/>
    <x v="0"/>
    <s v="Sales"/>
    <s v="Speciality Products"/>
    <s v="Female"/>
    <n v="30"/>
    <s v="25-35"/>
    <d v="2015-06-13T00:00:00"/>
    <n v="127972"/>
    <n v="0.11"/>
    <n v="142048.92000000001"/>
    <s v="United States"/>
    <s v="Seattle"/>
    <m/>
    <n v="320"/>
    <n v="0"/>
    <s v="EMP-"/>
    <n v="10"/>
    <s v="Active"/>
  </r>
  <r>
    <s v="EMP-321"/>
    <x v="19"/>
    <s v="Engineering"/>
    <s v="Corporate"/>
    <s v="Female"/>
    <n v="55"/>
    <s v="55-65"/>
    <d v="1995-08-04T00:00:00"/>
    <n v="80701"/>
    <n v="0"/>
    <n v="80701"/>
    <s v="United States"/>
    <s v="Chicago"/>
    <d v="2005-04-14T00:00:00"/>
    <n v="321"/>
    <n v="1"/>
    <s v="EMP-"/>
    <n v="9"/>
    <s v="Inactive"/>
  </r>
  <r>
    <s v="EMP-322"/>
    <x v="6"/>
    <s v="Marketing"/>
    <s v="Corporate"/>
    <s v="Male"/>
    <n v="28"/>
    <s v="25-35"/>
    <d v="2020-02-02T00:00:00"/>
    <n v="115417"/>
    <n v="0.06"/>
    <n v="122342.02"/>
    <s v="China"/>
    <s v="Shanghai"/>
    <m/>
    <n v="322"/>
    <n v="0"/>
    <s v="EMP-"/>
    <n v="6"/>
    <s v="Active"/>
  </r>
  <r>
    <s v="EMP-323"/>
    <x v="10"/>
    <s v="Engineering"/>
    <s v="Corporate"/>
    <s v="Female"/>
    <n v="45"/>
    <s v="45-55"/>
    <d v="2019-06-19T00:00:00"/>
    <n v="88045"/>
    <n v="0"/>
    <n v="88045"/>
    <s v="United States"/>
    <s v="Chicago"/>
    <m/>
    <n v="323"/>
    <n v="0"/>
    <s v="EMP-"/>
    <n v="6"/>
    <s v="Active"/>
  </r>
  <r>
    <s v="EMP-324"/>
    <x v="3"/>
    <s v="IT"/>
    <s v="Speciality Products"/>
    <s v="Female"/>
    <n v="45"/>
    <s v="45-55"/>
    <d v="2018-03-26T00:00:00"/>
    <n v="86478"/>
    <n v="0.06"/>
    <n v="91666.68"/>
    <s v="United States"/>
    <s v="Austin"/>
    <m/>
    <n v="324"/>
    <n v="0"/>
    <s v="EMP-"/>
    <n v="7"/>
    <s v="Active"/>
  </r>
  <r>
    <s v="EMP-325"/>
    <x v="9"/>
    <s v="Engineering"/>
    <s v="Manufacturing"/>
    <s v="Male"/>
    <n v="63"/>
    <s v="55-65"/>
    <d v="2016-01-18T00:00:00"/>
    <n v="180994"/>
    <n v="0.39"/>
    <n v="251581.66"/>
    <s v="United States"/>
    <s v="Seattle"/>
    <m/>
    <n v="325"/>
    <n v="0"/>
    <s v="EMP-"/>
    <n v="10"/>
    <s v="Active"/>
  </r>
  <r>
    <s v="EMP-326"/>
    <x v="13"/>
    <s v="Finance"/>
    <s v="Research &amp; Development"/>
    <s v="Female"/>
    <n v="55"/>
    <s v="55-65"/>
    <d v="2007-12-02T00:00:00"/>
    <n v="64494"/>
    <n v="0"/>
    <n v="64494"/>
    <s v="United States"/>
    <s v="Columbus"/>
    <m/>
    <n v="326"/>
    <n v="0"/>
    <s v="EMP-"/>
    <n v="18"/>
    <s v="Active"/>
  </r>
  <r>
    <s v="EMP-327"/>
    <x v="5"/>
    <s v="Sales"/>
    <s v="Manufacturing"/>
    <s v="Male"/>
    <n v="47"/>
    <s v="45-55"/>
    <d v="2002-10-21T00:00:00"/>
    <n v="70122"/>
    <n v="0"/>
    <n v="70122"/>
    <s v="United States"/>
    <s v="Columbus"/>
    <m/>
    <n v="327"/>
    <n v="0"/>
    <s v="EMP-"/>
    <n v="23"/>
    <s v="Active"/>
  </r>
  <r>
    <s v="EMP-328"/>
    <x v="2"/>
    <s v="Accounting"/>
    <s v="Manufacturing"/>
    <s v="Male"/>
    <n v="29"/>
    <s v="25-35"/>
    <d v="2017-02-19T00:00:00"/>
    <n v="181854"/>
    <n v="0.28999999999999998"/>
    <n v="234591.66"/>
    <s v="United States"/>
    <s v="Seattle"/>
    <d v="2020-04-24T00:00:00"/>
    <n v="328"/>
    <n v="1"/>
    <s v="EMP-"/>
    <n v="3"/>
    <s v="Inactive"/>
  </r>
  <r>
    <s v="EMP-329"/>
    <x v="20"/>
    <s v="Human Resources"/>
    <s v="Speciality Products"/>
    <s v="Female"/>
    <n v="34"/>
    <s v="25-35"/>
    <d v="2016-10-21T00:00:00"/>
    <n v="52811"/>
    <n v="0"/>
    <n v="52811"/>
    <s v="United States"/>
    <s v="Miami"/>
    <m/>
    <n v="329"/>
    <n v="0"/>
    <s v="EMP-"/>
    <n v="9"/>
    <s v="Active"/>
  </r>
  <r>
    <s v="EMP-330"/>
    <x v="28"/>
    <s v="IT"/>
    <s v="Research &amp; Development"/>
    <s v="Female"/>
    <n v="28"/>
    <s v="25-35"/>
    <d v="2019-10-25T00:00:00"/>
    <n v="50111"/>
    <n v="0"/>
    <n v="50111"/>
    <s v="China"/>
    <s v="Chengdu"/>
    <m/>
    <n v="330"/>
    <n v="0"/>
    <s v="EMP-"/>
    <n v="6"/>
    <s v="Active"/>
  </r>
  <r>
    <s v="EMP-331"/>
    <x v="32"/>
    <s v="IT"/>
    <s v="Manufacturing"/>
    <s v="Male"/>
    <n v="31"/>
    <s v="25-35"/>
    <d v="2016-05-07T00:00:00"/>
    <n v="71192"/>
    <n v="0"/>
    <n v="71192"/>
    <s v="United States"/>
    <s v="Austin"/>
    <m/>
    <n v="331"/>
    <n v="0"/>
    <s v="EMP-"/>
    <n v="9"/>
    <s v="Active"/>
  </r>
  <r>
    <s v="EMP-332"/>
    <x v="2"/>
    <s v="Sales"/>
    <s v="Manufacturing"/>
    <s v="Female"/>
    <n v="50"/>
    <s v="45-55"/>
    <d v="2018-12-18T00:00:00"/>
    <n v="155351"/>
    <n v="0.2"/>
    <n v="186421.2"/>
    <s v="United States"/>
    <s v="Seattle"/>
    <m/>
    <n v="332"/>
    <n v="0"/>
    <s v="EMP-"/>
    <n v="7"/>
    <s v="Active"/>
  </r>
  <r>
    <s v="EMP-333"/>
    <x v="2"/>
    <s v="Human Resources"/>
    <s v="Speciality Products"/>
    <s v="Male"/>
    <n v="39"/>
    <s v="35-45"/>
    <d v="2006-11-28T00:00:00"/>
    <n v="161690"/>
    <n v="0.28999999999999998"/>
    <n v="208580.1"/>
    <s v="China"/>
    <s v="Beijing"/>
    <m/>
    <n v="333"/>
    <n v="0"/>
    <s v="EMP-"/>
    <n v="19"/>
    <s v="Active"/>
  </r>
  <r>
    <s v="EMP-334"/>
    <x v="25"/>
    <s v="Engineering"/>
    <s v="Speciality Products"/>
    <s v="Female"/>
    <n v="35"/>
    <s v="35-45"/>
    <d v="2017-02-10T00:00:00"/>
    <n v="60132"/>
    <n v="0"/>
    <n v="60132"/>
    <s v="China"/>
    <s v="Chongqing"/>
    <m/>
    <n v="334"/>
    <n v="0"/>
    <s v="EMP-"/>
    <n v="9"/>
    <s v="Active"/>
  </r>
  <r>
    <s v="EMP-335"/>
    <x v="23"/>
    <s v="IT"/>
    <s v="Manufacturing"/>
    <s v="Male"/>
    <n v="54"/>
    <s v="45-55"/>
    <d v="1994-10-24T00:00:00"/>
    <n v="87216"/>
    <n v="0"/>
    <n v="87216"/>
    <s v="United States"/>
    <s v="Miami"/>
    <m/>
    <n v="335"/>
    <n v="0"/>
    <s v="EMP-"/>
    <n v="31"/>
    <s v="Active"/>
  </r>
  <r>
    <s v="EMP-336"/>
    <x v="28"/>
    <s v="IT"/>
    <s v="Corporate"/>
    <s v="Male"/>
    <n v="47"/>
    <s v="45-55"/>
    <d v="2020-04-23T00:00:00"/>
    <n v="50069"/>
    <n v="0"/>
    <n v="50069"/>
    <s v="United States"/>
    <s v="Seattle"/>
    <m/>
    <n v="336"/>
    <n v="0"/>
    <s v="EMP-"/>
    <n v="5"/>
    <s v="Active"/>
  </r>
  <r>
    <s v="EMP-337"/>
    <x v="2"/>
    <s v="IT"/>
    <s v="Speciality Products"/>
    <s v="Female"/>
    <n v="26"/>
    <s v="25-35"/>
    <d v="2021-07-26T00:00:00"/>
    <n v="151108"/>
    <n v="0.22"/>
    <n v="184351.76"/>
    <s v="United States"/>
    <s v="Phoenix"/>
    <m/>
    <n v="337"/>
    <n v="0"/>
    <s v="EMP-"/>
    <n v="4"/>
    <s v="Active"/>
  </r>
  <r>
    <s v="EMP-338"/>
    <x v="3"/>
    <s v="IT"/>
    <s v="Manufacturing"/>
    <s v="Female"/>
    <n v="42"/>
    <s v="35-45"/>
    <d v="2005-10-15T00:00:00"/>
    <n v="67398"/>
    <n v="7.0000000000000007E-2"/>
    <n v="72115.86"/>
    <s v="United States"/>
    <s v="Phoenix"/>
    <m/>
    <n v="338"/>
    <n v="0"/>
    <s v="EMP-"/>
    <n v="20"/>
    <s v="Active"/>
  </r>
  <r>
    <s v="EMP-339"/>
    <x v="25"/>
    <s v="Engineering"/>
    <s v="Research &amp; Development"/>
    <s v="Female"/>
    <n v="47"/>
    <s v="45-55"/>
    <d v="2015-08-29T00:00:00"/>
    <n v="68488"/>
    <n v="0"/>
    <n v="68488"/>
    <s v="United States"/>
    <s v="Seattle"/>
    <m/>
    <n v="339"/>
    <n v="0"/>
    <s v="EMP-"/>
    <n v="10"/>
    <s v="Active"/>
  </r>
  <r>
    <s v="EMP-340"/>
    <x v="10"/>
    <s v="Engineering"/>
    <s v="Manufacturing"/>
    <s v="Female"/>
    <n v="60"/>
    <s v="55-65"/>
    <d v="1998-07-16T00:00:00"/>
    <n v="92932"/>
    <n v="0"/>
    <n v="92932"/>
    <s v="United States"/>
    <s v="Columbus"/>
    <m/>
    <n v="340"/>
    <n v="0"/>
    <s v="EMP-"/>
    <n v="27"/>
    <s v="Active"/>
  </r>
  <r>
    <s v="EMP-341"/>
    <x v="7"/>
    <s v="Finance"/>
    <s v="Corporate"/>
    <s v="Female"/>
    <n v="36"/>
    <s v="35-45"/>
    <d v="2009-06-30T00:00:00"/>
    <n v="43363"/>
    <n v="0"/>
    <n v="43363"/>
    <s v="United States"/>
    <s v="Austin"/>
    <m/>
    <n v="341"/>
    <n v="0"/>
    <s v="EMP-"/>
    <n v="16"/>
    <s v="Active"/>
  </r>
  <r>
    <s v="EMP-342"/>
    <x v="31"/>
    <s v="IT"/>
    <s v="Speciality Products"/>
    <s v="Male"/>
    <n v="31"/>
    <s v="25-35"/>
    <d v="2017-02-14T00:00:00"/>
    <n v="95963"/>
    <n v="0"/>
    <n v="95963"/>
    <s v="China"/>
    <s v="Chengdu"/>
    <m/>
    <n v="342"/>
    <n v="0"/>
    <s v="EMP-"/>
    <n v="9"/>
    <s v="Active"/>
  </r>
  <r>
    <s v="EMP-343"/>
    <x v="6"/>
    <s v="Finance"/>
    <s v="Speciality Products"/>
    <s v="Female"/>
    <n v="55"/>
    <s v="55-65"/>
    <d v="2010-04-29T00:00:00"/>
    <n v="111038"/>
    <n v="0.05"/>
    <n v="116589.9"/>
    <s v="Brazil"/>
    <s v="Sao Paulo"/>
    <m/>
    <n v="343"/>
    <n v="0"/>
    <s v="EMP-"/>
    <n v="15"/>
    <s v="Active"/>
  </r>
  <r>
    <s v="EMP-344"/>
    <x v="9"/>
    <s v="Engineering"/>
    <s v="Research &amp; Development"/>
    <s v="Female"/>
    <n v="51"/>
    <s v="45-55"/>
    <d v="1996-06-14T00:00:00"/>
    <n v="200246"/>
    <n v="0.34"/>
    <n v="268329.64"/>
    <s v="United States"/>
    <s v="Columbus"/>
    <m/>
    <n v="344"/>
    <n v="0"/>
    <s v="EMP-"/>
    <n v="29"/>
    <s v="Active"/>
  </r>
  <r>
    <s v="EMP-345"/>
    <x v="9"/>
    <s v="IT"/>
    <s v="Corporate"/>
    <s v="Female"/>
    <n v="48"/>
    <s v="45-55"/>
    <d v="2015-02-18T00:00:00"/>
    <n v="194871"/>
    <n v="0.35"/>
    <n v="263075.84999999998"/>
    <s v="United States"/>
    <s v="Columbus"/>
    <m/>
    <n v="345"/>
    <n v="0"/>
    <s v="EMP-"/>
    <n v="11"/>
    <s v="Active"/>
  </r>
  <r>
    <s v="EMP-346"/>
    <x v="4"/>
    <s v="Accounting"/>
    <s v="Research &amp; Development"/>
    <s v="Male"/>
    <n v="58"/>
    <s v="55-65"/>
    <d v="1994-09-15T00:00:00"/>
    <n v="98769"/>
    <n v="0"/>
    <n v="98769"/>
    <s v="Brazil"/>
    <s v="Rio de Janerio"/>
    <d v="2016-10-03T00:00:00"/>
    <n v="346"/>
    <n v="1"/>
    <s v="EMP-"/>
    <n v="22"/>
    <s v="Inactive"/>
  </r>
  <r>
    <s v="EMP-347"/>
    <x v="5"/>
    <s v="Sales"/>
    <s v="Research &amp; Development"/>
    <s v="Female"/>
    <n v="29"/>
    <s v="25-35"/>
    <d v="2018-05-19T00:00:00"/>
    <n v="65334"/>
    <n v="0"/>
    <n v="65334"/>
    <s v="Brazil"/>
    <s v="Rio de Janerio"/>
    <m/>
    <n v="347"/>
    <n v="0"/>
    <s v="EMP-"/>
    <n v="7"/>
    <s v="Active"/>
  </r>
  <r>
    <s v="EMP-348"/>
    <x v="1"/>
    <s v="IT"/>
    <s v="Manufacturing"/>
    <s v="Female"/>
    <n v="25"/>
    <s v="25-35"/>
    <d v="2021-05-11T00:00:00"/>
    <n v="83934"/>
    <n v="0"/>
    <n v="83934"/>
    <s v="United States"/>
    <s v="Miami"/>
    <m/>
    <n v="348"/>
    <n v="0"/>
    <s v="EMP-"/>
    <n v="4"/>
    <s v="Active"/>
  </r>
  <r>
    <s v="EMP-349"/>
    <x v="2"/>
    <s v="Accounting"/>
    <s v="Research &amp; Development"/>
    <s v="Male"/>
    <n v="36"/>
    <s v="35-45"/>
    <d v="2016-09-03T00:00:00"/>
    <n v="150399"/>
    <n v="0.28000000000000003"/>
    <n v="192510.72"/>
    <s v="United States"/>
    <s v="Chicago"/>
    <m/>
    <n v="349"/>
    <n v="0"/>
    <s v="EMP-"/>
    <n v="9"/>
    <s v="Active"/>
  </r>
  <r>
    <s v="EMP-350"/>
    <x v="2"/>
    <s v="Human Resources"/>
    <s v="Research &amp; Development"/>
    <s v="Male"/>
    <n v="37"/>
    <s v="35-45"/>
    <d v="2012-05-19T00:00:00"/>
    <n v="160280"/>
    <n v="0.19"/>
    <n v="190733.2"/>
    <s v="China"/>
    <s v="Beijing"/>
    <m/>
    <n v="350"/>
    <n v="0"/>
    <s v="EMP-"/>
    <n v="13"/>
    <s v="Active"/>
  </r>
  <r>
    <s v="EMP-351"/>
    <x v="20"/>
    <s v="Human Resources"/>
    <s v="Speciality Products"/>
    <s v="Male"/>
    <n v="57"/>
    <s v="55-65"/>
    <d v="1997-04-28T00:00:00"/>
    <n v="54051"/>
    <n v="0"/>
    <n v="54051"/>
    <s v="United States"/>
    <s v="Miami"/>
    <d v="1998-10-11T00:00:00"/>
    <n v="351"/>
    <n v="1"/>
    <s v="EMP-"/>
    <n v="1"/>
    <s v="Inactive"/>
  </r>
  <r>
    <s v="EMP-352"/>
    <x v="2"/>
    <s v="Engineering"/>
    <s v="Research &amp; Development"/>
    <s v="Female"/>
    <n v="59"/>
    <s v="55-65"/>
    <d v="2003-04-15T00:00:00"/>
    <n v="150699"/>
    <n v="0.28999999999999998"/>
    <n v="194401.71"/>
    <s v="Brazil"/>
    <s v="Sao Paulo"/>
    <m/>
    <n v="352"/>
    <n v="0"/>
    <s v="EMP-"/>
    <n v="22"/>
    <s v="Active"/>
  </r>
  <r>
    <s v="EMP-353"/>
    <x v="13"/>
    <s v="Marketing"/>
    <s v="Speciality Products"/>
    <s v="Male"/>
    <n v="37"/>
    <s v="35-45"/>
    <d v="2013-03-30T00:00:00"/>
    <n v="69570"/>
    <n v="0"/>
    <n v="69570"/>
    <s v="United States"/>
    <s v="Miami"/>
    <m/>
    <n v="353"/>
    <n v="0"/>
    <s v="EMP-"/>
    <n v="12"/>
    <s v="Active"/>
  </r>
  <r>
    <s v="EMP-354"/>
    <x v="31"/>
    <s v="IT"/>
    <s v="Manufacturing"/>
    <s v="Female"/>
    <n v="30"/>
    <s v="25-35"/>
    <d v="2019-03-29T00:00:00"/>
    <n v="86774"/>
    <n v="0"/>
    <n v="86774"/>
    <s v="China"/>
    <s v="Chengdu"/>
    <m/>
    <n v="354"/>
    <n v="0"/>
    <s v="EMP-"/>
    <n v="6"/>
    <s v="Active"/>
  </r>
  <r>
    <s v="EMP-355"/>
    <x v="16"/>
    <s v="Human Resources"/>
    <s v="Manufacturing"/>
    <s v="Male"/>
    <n v="49"/>
    <s v="45-55"/>
    <d v="2001-03-29T00:00:00"/>
    <n v="57606"/>
    <n v="0"/>
    <n v="57606"/>
    <s v="United States"/>
    <s v="Miami"/>
    <m/>
    <n v="355"/>
    <n v="0"/>
    <s v="EMP-"/>
    <n v="24"/>
    <s v="Active"/>
  </r>
  <r>
    <s v="EMP-356"/>
    <x v="0"/>
    <s v="Finance"/>
    <s v="Corporate"/>
    <s v="Female"/>
    <n v="48"/>
    <s v="45-55"/>
    <d v="2001-09-10T00:00:00"/>
    <n v="125730"/>
    <n v="0.11"/>
    <n v="139560.29999999999"/>
    <s v="China"/>
    <s v="Chongqing"/>
    <m/>
    <n v="356"/>
    <n v="0"/>
    <s v="EMP-"/>
    <n v="24"/>
    <s v="Active"/>
  </r>
  <r>
    <s v="EMP-357"/>
    <x v="27"/>
    <s v="IT"/>
    <s v="Research &amp; Development"/>
    <s v="Female"/>
    <n v="51"/>
    <s v="45-55"/>
    <d v="2012-02-25T00:00:00"/>
    <n v="64170"/>
    <n v="0"/>
    <n v="64170"/>
    <s v="United States"/>
    <s v="Columbus"/>
    <m/>
    <n v="357"/>
    <n v="0"/>
    <s v="EMP-"/>
    <n v="14"/>
    <s v="Active"/>
  </r>
  <r>
    <s v="EMP-358"/>
    <x v="15"/>
    <s v="Human Resources"/>
    <s v="Speciality Products"/>
    <s v="Male"/>
    <n v="56"/>
    <s v="55-65"/>
    <d v="1998-01-21T00:00:00"/>
    <n v="72303"/>
    <n v="0"/>
    <n v="72303"/>
    <s v="United States"/>
    <s v="Phoenix"/>
    <m/>
    <n v="358"/>
    <n v="0"/>
    <s v="EMP-"/>
    <n v="28"/>
    <s v="Active"/>
  </r>
  <r>
    <s v="EMP-359"/>
    <x v="6"/>
    <s v="Sales"/>
    <s v="Research &amp; Development"/>
    <s v="Male"/>
    <n v="36"/>
    <s v="35-45"/>
    <d v="2012-07-26T00:00:00"/>
    <n v="105891"/>
    <n v="7.0000000000000007E-2"/>
    <n v="113303.37"/>
    <s v="United States"/>
    <s v="Seattle"/>
    <m/>
    <n v="359"/>
    <n v="0"/>
    <s v="EMP-"/>
    <n v="13"/>
    <s v="Active"/>
  </r>
  <r>
    <s v="EMP-360"/>
    <x v="9"/>
    <s v="Marketing"/>
    <s v="Speciality Products"/>
    <s v="Male"/>
    <n v="38"/>
    <s v="35-45"/>
    <d v="2021-08-25T00:00:00"/>
    <n v="255230"/>
    <n v="0.36"/>
    <n v="347112.8"/>
    <s v="United States"/>
    <s v="Austin"/>
    <m/>
    <n v="360"/>
    <n v="0"/>
    <s v="EMP-"/>
    <n v="4"/>
    <s v="Active"/>
  </r>
  <r>
    <s v="EMP-361"/>
    <x v="13"/>
    <s v="Sales"/>
    <s v="Manufacturing"/>
    <s v="Female"/>
    <n v="56"/>
    <s v="55-65"/>
    <d v="1992-06-15T00:00:00"/>
    <n v="59591"/>
    <n v="0"/>
    <n v="59591"/>
    <s v="Brazil"/>
    <s v="Sao Paulo"/>
    <m/>
    <n v="361"/>
    <n v="0"/>
    <s v="EMP-"/>
    <n v="33"/>
    <s v="Active"/>
  </r>
  <r>
    <s v="EMP-362"/>
    <x v="9"/>
    <s v="Human Resources"/>
    <s v="Manufacturing"/>
    <s v="Female"/>
    <n v="52"/>
    <s v="45-55"/>
    <d v="2012-07-23T00:00:00"/>
    <n v="187048"/>
    <n v="0.32"/>
    <n v="246903.36"/>
    <s v="China"/>
    <s v="Chengdu"/>
    <m/>
    <n v="362"/>
    <n v="0"/>
    <s v="EMP-"/>
    <n v="13"/>
    <s v="Active"/>
  </r>
  <r>
    <s v="EMP-363"/>
    <x v="13"/>
    <s v="Finance"/>
    <s v="Speciality Products"/>
    <s v="Female"/>
    <n v="53"/>
    <s v="45-55"/>
    <d v="2002-02-09T00:00:00"/>
    <n v="58605"/>
    <n v="0"/>
    <n v="58605"/>
    <s v="United States"/>
    <s v="Phoenix"/>
    <m/>
    <n v="363"/>
    <n v="0"/>
    <s v="EMP-"/>
    <n v="24"/>
    <s v="Active"/>
  </r>
  <r>
    <s v="EMP-364"/>
    <x v="2"/>
    <s v="Engineering"/>
    <s v="Corporate"/>
    <s v="Female"/>
    <n v="60"/>
    <s v="55-65"/>
    <d v="2017-01-04T00:00:00"/>
    <n v="178502"/>
    <n v="0.2"/>
    <n v="214202.4"/>
    <s v="United States"/>
    <s v="Austin"/>
    <m/>
    <n v="364"/>
    <n v="0"/>
    <s v="EMP-"/>
    <n v="9"/>
    <s v="Active"/>
  </r>
  <r>
    <s v="EMP-365"/>
    <x v="6"/>
    <s v="Accounting"/>
    <s v="Speciality Products"/>
    <s v="Male"/>
    <n v="63"/>
    <s v="55-65"/>
    <d v="2015-07-29T00:00:00"/>
    <n v="103724"/>
    <n v="0.05"/>
    <n v="108910.2"/>
    <s v="China"/>
    <s v="Shanghai"/>
    <m/>
    <n v="365"/>
    <n v="0"/>
    <s v="EMP-"/>
    <n v="10"/>
    <s v="Active"/>
  </r>
  <r>
    <s v="EMP-366"/>
    <x v="2"/>
    <s v="Engineering"/>
    <s v="Research &amp; Development"/>
    <s v="Female"/>
    <n v="37"/>
    <s v="35-45"/>
    <d v="2008-03-21T00:00:00"/>
    <n v="156277"/>
    <n v="0.22"/>
    <n v="190657.94"/>
    <s v="Brazil"/>
    <s v="Manaus"/>
    <m/>
    <n v="366"/>
    <n v="0"/>
    <s v="EMP-"/>
    <n v="17"/>
    <s v="Active"/>
  </r>
  <r>
    <s v="EMP-367"/>
    <x v="17"/>
    <s v="Engineering"/>
    <s v="Research &amp; Development"/>
    <s v="Female"/>
    <n v="30"/>
    <s v="25-35"/>
    <d v="2017-12-17T00:00:00"/>
    <n v="87744"/>
    <n v="0"/>
    <n v="87744"/>
    <s v="Brazil"/>
    <s v="Sao Paulo"/>
    <m/>
    <n v="367"/>
    <n v="0"/>
    <s v="EMP-"/>
    <n v="8"/>
    <s v="Active"/>
  </r>
  <r>
    <s v="EMP-368"/>
    <x v="13"/>
    <s v="Finance"/>
    <s v="Manufacturing"/>
    <s v="Male"/>
    <n v="30"/>
    <s v="25-35"/>
    <d v="2019-03-18T00:00:00"/>
    <n v="54714"/>
    <n v="0"/>
    <n v="54714"/>
    <s v="United States"/>
    <s v="Columbus"/>
    <m/>
    <n v="368"/>
    <n v="0"/>
    <s v="EMP-"/>
    <n v="6"/>
    <s v="Active"/>
  </r>
  <r>
    <s v="EMP-369"/>
    <x v="14"/>
    <s v="IT"/>
    <s v="Corporate"/>
    <s v="Female"/>
    <n v="45"/>
    <s v="45-55"/>
    <d v="2013-08-25T00:00:00"/>
    <n v="99169"/>
    <n v="0"/>
    <n v="99169"/>
    <s v="China"/>
    <s v="Beijing"/>
    <m/>
    <n v="369"/>
    <n v="0"/>
    <s v="EMP-"/>
    <n v="12"/>
    <s v="Active"/>
  </r>
  <r>
    <s v="EMP-370"/>
    <x v="0"/>
    <s v="Accounting"/>
    <s v="Research &amp; Development"/>
    <s v="Female"/>
    <n v="55"/>
    <s v="55-65"/>
    <d v="2006-06-20T00:00:00"/>
    <n v="142628"/>
    <n v="0.12"/>
    <n v="159743.35999999999"/>
    <s v="China"/>
    <s v="Chongqing"/>
    <m/>
    <n v="370"/>
    <n v="0"/>
    <s v="EMP-"/>
    <n v="19"/>
    <s v="Active"/>
  </r>
  <r>
    <s v="EMP-371"/>
    <x v="4"/>
    <s v="Marketing"/>
    <s v="Manufacturing"/>
    <s v="Female"/>
    <n v="33"/>
    <s v="25-35"/>
    <d v="2014-04-27T00:00:00"/>
    <n v="75869"/>
    <n v="0"/>
    <n v="75869"/>
    <s v="Brazil"/>
    <s v="Sao Paulo"/>
    <m/>
    <n v="371"/>
    <n v="0"/>
    <s v="EMP-"/>
    <n v="11"/>
    <s v="Active"/>
  </r>
  <r>
    <s v="EMP-372"/>
    <x v="23"/>
    <s v="IT"/>
    <s v="Manufacturing"/>
    <s v="Female"/>
    <n v="65"/>
    <s v="65-100"/>
    <d v="2018-05-14T00:00:00"/>
    <n v="60985"/>
    <n v="0"/>
    <n v="60985"/>
    <s v="United States"/>
    <s v="Seattle"/>
    <m/>
    <n v="372"/>
    <n v="0"/>
    <s v="EMP-"/>
    <n v="7"/>
    <s v="Active"/>
  </r>
  <r>
    <s v="EMP-373"/>
    <x v="0"/>
    <s v="IT"/>
    <s v="Research &amp; Development"/>
    <s v="Female"/>
    <n v="60"/>
    <s v="55-65"/>
    <d v="2010-07-24T00:00:00"/>
    <n v="126911"/>
    <n v="0.1"/>
    <n v="139602.1"/>
    <s v="China"/>
    <s v="Shanghai"/>
    <m/>
    <n v="373"/>
    <n v="0"/>
    <s v="EMP-"/>
    <n v="15"/>
    <s v="Active"/>
  </r>
  <r>
    <s v="EMP-374"/>
    <x v="9"/>
    <s v="Sales"/>
    <s v="Research &amp; Development"/>
    <s v="Male"/>
    <n v="56"/>
    <s v="55-65"/>
    <d v="2004-02-25T00:00:00"/>
    <n v="216949"/>
    <n v="0.32"/>
    <n v="286372.68"/>
    <s v="China"/>
    <s v="Shanghai"/>
    <m/>
    <n v="374"/>
    <n v="0"/>
    <s v="EMP-"/>
    <n v="22"/>
    <s v="Active"/>
  </r>
  <r>
    <s v="EMP-375"/>
    <x v="2"/>
    <s v="Engineering"/>
    <s v="Manufacturing"/>
    <s v="Male"/>
    <n v="53"/>
    <s v="45-55"/>
    <d v="2012-10-22T00:00:00"/>
    <n v="168510"/>
    <n v="0.28999999999999998"/>
    <n v="217377.9"/>
    <s v="United States"/>
    <s v="Seattle"/>
    <m/>
    <n v="375"/>
    <n v="0"/>
    <s v="EMP-"/>
    <n v="13"/>
    <s v="Active"/>
  </r>
  <r>
    <s v="EMP-376"/>
    <x v="17"/>
    <s v="Engineering"/>
    <s v="Speciality Products"/>
    <s v="Female"/>
    <n v="36"/>
    <s v="35-45"/>
    <d v="2016-03-14T00:00:00"/>
    <n v="85870"/>
    <n v="0"/>
    <n v="85870"/>
    <s v="Brazil"/>
    <s v="Sao Paulo"/>
    <m/>
    <n v="376"/>
    <n v="0"/>
    <s v="EMP-"/>
    <n v="10"/>
    <s v="Active"/>
  </r>
  <r>
    <s v="EMP-377"/>
    <x v="4"/>
    <s v="Marketing"/>
    <s v="Corporate"/>
    <s v="Female"/>
    <n v="46"/>
    <s v="45-55"/>
    <d v="2002-01-15T00:00:00"/>
    <n v="86510"/>
    <n v="0"/>
    <n v="86510"/>
    <s v="China"/>
    <s v="Beijing"/>
    <d v="2003-01-02T00:00:00"/>
    <n v="377"/>
    <n v="1"/>
    <s v="EMP-"/>
    <n v="0"/>
    <s v="Inactive"/>
  </r>
  <r>
    <s v="EMP-378"/>
    <x v="6"/>
    <s v="Sales"/>
    <s v="Speciality Products"/>
    <s v="Female"/>
    <n v="38"/>
    <s v="35-45"/>
    <d v="2017-09-21T00:00:00"/>
    <n v="119647"/>
    <n v="0.09"/>
    <n v="130415.23"/>
    <s v="Brazil"/>
    <s v="Sao Paulo"/>
    <m/>
    <n v="378"/>
    <n v="0"/>
    <s v="EMP-"/>
    <n v="8"/>
    <s v="Active"/>
  </r>
  <r>
    <s v="EMP-379"/>
    <x v="14"/>
    <s v="IT"/>
    <s v="Research &amp; Development"/>
    <s v="Male"/>
    <n v="62"/>
    <s v="55-65"/>
    <d v="2001-04-15T00:00:00"/>
    <n v="80921"/>
    <n v="0"/>
    <n v="80921"/>
    <s v="United States"/>
    <s v="Columbus"/>
    <m/>
    <n v="379"/>
    <n v="0"/>
    <s v="EMP-"/>
    <n v="24"/>
    <s v="Active"/>
  </r>
  <r>
    <s v="EMP-380"/>
    <x v="11"/>
    <s v="Engineering"/>
    <s v="Research &amp; Development"/>
    <s v="Female"/>
    <n v="61"/>
    <s v="55-65"/>
    <d v="2010-01-15T00:00:00"/>
    <n v="98110"/>
    <n v="0.13"/>
    <n v="110864.3"/>
    <s v="United States"/>
    <s v="Chicago"/>
    <m/>
    <n v="380"/>
    <n v="0"/>
    <s v="EMP-"/>
    <n v="16"/>
    <s v="Active"/>
  </r>
  <r>
    <s v="EMP-381"/>
    <x v="23"/>
    <s v="IT"/>
    <s v="Speciality Products"/>
    <s v="Female"/>
    <n v="59"/>
    <s v="55-65"/>
    <d v="2017-10-20T00:00:00"/>
    <n v="86831"/>
    <n v="0"/>
    <n v="86831"/>
    <s v="United States"/>
    <s v="Phoenix"/>
    <m/>
    <n v="381"/>
    <n v="0"/>
    <s v="EMP-"/>
    <n v="8"/>
    <s v="Active"/>
  </r>
  <r>
    <s v="EMP-382"/>
    <x v="1"/>
    <s v="IT"/>
    <s v="Speciality Products"/>
    <s v="Female"/>
    <n v="49"/>
    <s v="45-55"/>
    <d v="2010-09-10T00:00:00"/>
    <n v="72826"/>
    <n v="0"/>
    <n v="72826"/>
    <s v="China"/>
    <s v="Beijing"/>
    <m/>
    <n v="382"/>
    <n v="0"/>
    <s v="EMP-"/>
    <n v="15"/>
    <s v="Active"/>
  </r>
  <r>
    <s v="EMP-383"/>
    <x v="2"/>
    <s v="Marketing"/>
    <s v="Manufacturing"/>
    <s v="Female"/>
    <n v="64"/>
    <s v="55-65"/>
    <d v="2011-02-14T00:00:00"/>
    <n v="171217"/>
    <n v="0.19"/>
    <n v="203748.23"/>
    <s v="United States"/>
    <s v="Seattle"/>
    <m/>
    <n v="383"/>
    <n v="0"/>
    <s v="EMP-"/>
    <n v="15"/>
    <s v="Active"/>
  </r>
  <r>
    <s v="EMP-384"/>
    <x v="6"/>
    <s v="IT"/>
    <s v="Research &amp; Development"/>
    <s v="Female"/>
    <n v="57"/>
    <s v="55-65"/>
    <d v="2020-04-27T00:00:00"/>
    <n v="103058"/>
    <n v="7.0000000000000007E-2"/>
    <n v="110272.06"/>
    <s v="United States"/>
    <s v="Columbus"/>
    <m/>
    <n v="384"/>
    <n v="0"/>
    <s v="EMP-"/>
    <n v="5"/>
    <s v="Active"/>
  </r>
  <r>
    <s v="EMP-385"/>
    <x v="6"/>
    <s v="Sales"/>
    <s v="Speciality Products"/>
    <s v="Male"/>
    <n v="52"/>
    <s v="45-55"/>
    <d v="2014-08-07T00:00:00"/>
    <n v="117062"/>
    <n v="7.0000000000000007E-2"/>
    <n v="125256.34"/>
    <s v="United States"/>
    <s v="Phoenix"/>
    <m/>
    <n v="385"/>
    <n v="0"/>
    <s v="EMP-"/>
    <n v="11"/>
    <s v="Active"/>
  </r>
  <r>
    <s v="EMP-386"/>
    <x v="0"/>
    <s v="Accounting"/>
    <s v="Speciality Products"/>
    <s v="Male"/>
    <n v="40"/>
    <s v="35-45"/>
    <d v="2019-01-23T00:00:00"/>
    <n v="159031"/>
    <n v="0.1"/>
    <n v="174934.1"/>
    <s v="United States"/>
    <s v="Miami"/>
    <m/>
    <n v="386"/>
    <n v="0"/>
    <s v="EMP-"/>
    <n v="7"/>
    <s v="Active"/>
  </r>
  <r>
    <s v="EMP-387"/>
    <x v="0"/>
    <s v="IT"/>
    <s v="Research &amp; Development"/>
    <s v="Female"/>
    <n v="49"/>
    <s v="45-55"/>
    <d v="2004-01-14T00:00:00"/>
    <n v="125086"/>
    <n v="0.1"/>
    <n v="137594.6"/>
    <s v="Brazil"/>
    <s v="Sao Paulo"/>
    <m/>
    <n v="387"/>
    <n v="0"/>
    <s v="EMP-"/>
    <n v="22"/>
    <s v="Active"/>
  </r>
  <r>
    <s v="EMP-388"/>
    <x v="27"/>
    <s v="IT"/>
    <s v="Speciality Products"/>
    <s v="Male"/>
    <n v="43"/>
    <s v="35-45"/>
    <d v="2016-04-07T00:00:00"/>
    <n v="67976"/>
    <n v="0"/>
    <n v="67976"/>
    <s v="United States"/>
    <s v="Seattle"/>
    <m/>
    <n v="388"/>
    <n v="0"/>
    <s v="EMP-"/>
    <n v="9"/>
    <s v="Active"/>
  </r>
  <r>
    <s v="EMP-389"/>
    <x v="13"/>
    <s v="Finance"/>
    <s v="Speciality Products"/>
    <s v="Male"/>
    <n v="31"/>
    <s v="25-35"/>
    <d v="2021-04-22T00:00:00"/>
    <n v="74215"/>
    <n v="0"/>
    <n v="74215"/>
    <s v="United States"/>
    <s v="Phoenix"/>
    <m/>
    <n v="389"/>
    <n v="0"/>
    <s v="EMP-"/>
    <n v="4"/>
    <s v="Active"/>
  </r>
  <r>
    <s v="EMP-390"/>
    <x v="2"/>
    <s v="Accounting"/>
    <s v="Manufacturing"/>
    <s v="Male"/>
    <n v="55"/>
    <s v="55-65"/>
    <d v="2010-06-11T00:00:00"/>
    <n v="187389"/>
    <n v="0.25"/>
    <n v="234236.25"/>
    <s v="China"/>
    <s v="Chengdu"/>
    <m/>
    <n v="390"/>
    <n v="0"/>
    <s v="EMP-"/>
    <n v="15"/>
    <s v="Active"/>
  </r>
  <r>
    <s v="EMP-391"/>
    <x v="0"/>
    <s v="Human Resources"/>
    <s v="Speciality Products"/>
    <s v="Female"/>
    <n v="41"/>
    <s v="35-45"/>
    <d v="2008-10-26T00:00:00"/>
    <n v="131841"/>
    <n v="0.13"/>
    <n v="148980.33000000002"/>
    <s v="United States"/>
    <s v="Columbus"/>
    <m/>
    <n v="391"/>
    <n v="0"/>
    <s v="EMP-"/>
    <n v="17"/>
    <s v="Active"/>
  </r>
  <r>
    <s v="EMP-392"/>
    <x v="4"/>
    <s v="Accounting"/>
    <s v="Research &amp; Development"/>
    <s v="Male"/>
    <n v="34"/>
    <s v="25-35"/>
    <d v="2011-07-26T00:00:00"/>
    <n v="97231"/>
    <n v="0"/>
    <n v="97231"/>
    <s v="China"/>
    <s v="Beijing"/>
    <m/>
    <n v="392"/>
    <n v="0"/>
    <s v="EMP-"/>
    <n v="14"/>
    <s v="Active"/>
  </r>
  <r>
    <s v="EMP-393"/>
    <x v="0"/>
    <s v="Finance"/>
    <s v="Corporate"/>
    <s v="Female"/>
    <n v="41"/>
    <s v="35-45"/>
    <d v="2004-03-14T00:00:00"/>
    <n v="155004"/>
    <n v="0.12"/>
    <n v="173604.48000000001"/>
    <s v="United States"/>
    <s v="Austin"/>
    <m/>
    <n v="393"/>
    <n v="0"/>
    <s v="EMP-"/>
    <n v="22"/>
    <s v="Active"/>
  </r>
  <r>
    <s v="EMP-394"/>
    <x v="28"/>
    <s v="IT"/>
    <s v="Manufacturing"/>
    <s v="Male"/>
    <n v="40"/>
    <s v="35-45"/>
    <d v="2007-07-30T00:00:00"/>
    <n v="41859"/>
    <n v="0"/>
    <n v="41859"/>
    <s v="United States"/>
    <s v="Seattle"/>
    <m/>
    <n v="394"/>
    <n v="0"/>
    <s v="EMP-"/>
    <n v="18"/>
    <s v="Active"/>
  </r>
  <r>
    <s v="EMP-395"/>
    <x v="12"/>
    <s v="IT"/>
    <s v="Manufacturing"/>
    <s v="Male"/>
    <n v="42"/>
    <s v="35-45"/>
    <d v="2006-09-24T00:00:00"/>
    <n v="52733"/>
    <n v="0"/>
    <n v="52733"/>
    <s v="United States"/>
    <s v="Chicago"/>
    <m/>
    <n v="395"/>
    <n v="0"/>
    <s v="EMP-"/>
    <n v="19"/>
    <s v="Active"/>
  </r>
  <r>
    <s v="EMP-396"/>
    <x v="9"/>
    <s v="Human Resources"/>
    <s v="Corporate"/>
    <s v="Male"/>
    <n v="31"/>
    <s v="25-35"/>
    <d v="2015-09-03T00:00:00"/>
    <n v="250953"/>
    <n v="0.34"/>
    <n v="336277.02"/>
    <s v="United States"/>
    <s v="Columbus"/>
    <m/>
    <n v="396"/>
    <n v="0"/>
    <s v="EMP-"/>
    <n v="10"/>
    <s v="Active"/>
  </r>
  <r>
    <s v="EMP-397"/>
    <x v="2"/>
    <s v="Marketing"/>
    <s v="Research &amp; Development"/>
    <s v="Male"/>
    <n v="49"/>
    <s v="45-55"/>
    <d v="1999-02-19T00:00:00"/>
    <n v="191807"/>
    <n v="0.21"/>
    <n v="232086.47"/>
    <s v="China"/>
    <s v="Chongqing"/>
    <m/>
    <n v="397"/>
    <n v="0"/>
    <s v="EMP-"/>
    <n v="27"/>
    <s v="Active"/>
  </r>
  <r>
    <s v="EMP-398"/>
    <x v="1"/>
    <s v="IT"/>
    <s v="Speciality Products"/>
    <s v="Male"/>
    <n v="42"/>
    <s v="35-45"/>
    <d v="2014-06-23T00:00:00"/>
    <n v="64677"/>
    <n v="0"/>
    <n v="64677"/>
    <s v="China"/>
    <s v="Chongqing"/>
    <m/>
    <n v="398"/>
    <n v="0"/>
    <s v="EMP-"/>
    <n v="11"/>
    <s v="Active"/>
  </r>
  <r>
    <s v="EMP-399"/>
    <x v="0"/>
    <s v="IT"/>
    <s v="Corporate"/>
    <s v="Male"/>
    <n v="46"/>
    <s v="45-55"/>
    <d v="2004-09-14T00:00:00"/>
    <n v="130274"/>
    <n v="0.11"/>
    <n v="144604.14000000001"/>
    <s v="United States"/>
    <s v="Chicago"/>
    <m/>
    <n v="399"/>
    <n v="0"/>
    <s v="EMP-"/>
    <n v="21"/>
    <s v="Active"/>
  </r>
  <r>
    <s v="EMP-400"/>
    <x v="23"/>
    <s v="IT"/>
    <s v="Research &amp; Development"/>
    <s v="Male"/>
    <n v="37"/>
    <s v="35-45"/>
    <d v="2017-07-06T00:00:00"/>
    <n v="96331"/>
    <n v="0"/>
    <n v="96331"/>
    <s v="China"/>
    <s v="Shanghai"/>
    <m/>
    <n v="400"/>
    <n v="0"/>
    <s v="EMP-"/>
    <n v="8"/>
    <s v="Active"/>
  </r>
  <r>
    <s v="EMP-401"/>
    <x v="0"/>
    <s v="Finance"/>
    <s v="Research &amp; Development"/>
    <s v="Female"/>
    <n v="51"/>
    <s v="45-55"/>
    <d v="2006-04-28T00:00:00"/>
    <n v="150758"/>
    <n v="0.13"/>
    <n v="170356.54"/>
    <s v="United States"/>
    <s v="Chicago"/>
    <d v="2007-08-16T00:00:00"/>
    <n v="401"/>
    <n v="1"/>
    <s v="EMP-"/>
    <n v="1"/>
    <s v="Inactive"/>
  </r>
  <r>
    <s v="EMP-402"/>
    <x v="2"/>
    <s v="Engineering"/>
    <s v="Corporate"/>
    <s v="Male"/>
    <n v="46"/>
    <s v="45-55"/>
    <d v="2014-07-19T00:00:00"/>
    <n v="173629"/>
    <n v="0.21"/>
    <n v="210091.09"/>
    <s v="Brazil"/>
    <s v="Sao Paulo"/>
    <m/>
    <n v="402"/>
    <n v="0"/>
    <s v="EMP-"/>
    <n v="11"/>
    <s v="Active"/>
  </r>
  <r>
    <s v="EMP-403"/>
    <x v="29"/>
    <s v="IT"/>
    <s v="Corporate"/>
    <s v="Male"/>
    <n v="55"/>
    <s v="55-65"/>
    <d v="1998-05-04T00:00:00"/>
    <n v="62174"/>
    <n v="0"/>
    <n v="62174"/>
    <s v="United States"/>
    <s v="Chicago"/>
    <m/>
    <n v="403"/>
    <n v="0"/>
    <s v="EMP-"/>
    <n v="27"/>
    <s v="Active"/>
  </r>
  <r>
    <s v="EMP-404"/>
    <x v="13"/>
    <s v="Accounting"/>
    <s v="Manufacturing"/>
    <s v="Male"/>
    <n v="43"/>
    <s v="35-45"/>
    <d v="2017-10-20T00:00:00"/>
    <n v="56555"/>
    <n v="0"/>
    <n v="56555"/>
    <s v="United States"/>
    <s v="Phoenix"/>
    <m/>
    <n v="404"/>
    <n v="0"/>
    <s v="EMP-"/>
    <n v="8"/>
    <s v="Active"/>
  </r>
  <r>
    <s v="EMP-405"/>
    <x v="13"/>
    <s v="Marketing"/>
    <s v="Manufacturing"/>
    <s v="Male"/>
    <n v="48"/>
    <s v="45-55"/>
    <d v="2005-09-28T00:00:00"/>
    <n v="74655"/>
    <n v="0"/>
    <n v="74655"/>
    <s v="United States"/>
    <s v="Austin"/>
    <m/>
    <n v="405"/>
    <n v="0"/>
    <s v="EMP-"/>
    <n v="20"/>
    <s v="Active"/>
  </r>
  <r>
    <s v="EMP-406"/>
    <x v="27"/>
    <s v="IT"/>
    <s v="Corporate"/>
    <s v="Male"/>
    <n v="48"/>
    <s v="45-55"/>
    <d v="2003-08-11T00:00:00"/>
    <n v="93017"/>
    <n v="0"/>
    <n v="93017"/>
    <s v="United States"/>
    <s v="Seattle"/>
    <m/>
    <n v="406"/>
    <n v="0"/>
    <s v="EMP-"/>
    <n v="22"/>
    <s v="Active"/>
  </r>
  <r>
    <s v="EMP-407"/>
    <x v="4"/>
    <s v="Marketing"/>
    <s v="Manufacturing"/>
    <s v="Male"/>
    <n v="51"/>
    <s v="45-55"/>
    <d v="2012-04-14T00:00:00"/>
    <n v="82300"/>
    <n v="0"/>
    <n v="82300"/>
    <s v="China"/>
    <s v="Chengdu"/>
    <m/>
    <n v="407"/>
    <n v="0"/>
    <s v="EMP-"/>
    <n v="13"/>
    <s v="Active"/>
  </r>
  <r>
    <s v="EMP-408"/>
    <x v="18"/>
    <s v="Engineering"/>
    <s v="Research &amp; Development"/>
    <s v="Female"/>
    <n v="46"/>
    <s v="45-55"/>
    <d v="2008-01-24T00:00:00"/>
    <n v="91621"/>
    <n v="0"/>
    <n v="91621"/>
    <s v="United States"/>
    <s v="Chicago"/>
    <m/>
    <n v="408"/>
    <n v="0"/>
    <s v="EMP-"/>
    <n v="18"/>
    <s v="Active"/>
  </r>
  <r>
    <s v="EMP-409"/>
    <x v="4"/>
    <s v="Marketing"/>
    <s v="Research &amp; Development"/>
    <s v="Male"/>
    <n v="33"/>
    <s v="25-35"/>
    <d v="2014-11-30T00:00:00"/>
    <n v="91280"/>
    <n v="0"/>
    <n v="91280"/>
    <s v="United States"/>
    <s v="Miami"/>
    <m/>
    <n v="409"/>
    <n v="0"/>
    <s v="EMP-"/>
    <n v="11"/>
    <s v="Active"/>
  </r>
  <r>
    <s v="EMP-410"/>
    <x v="20"/>
    <s v="Human Resources"/>
    <s v="Manufacturing"/>
    <s v="Female"/>
    <n v="42"/>
    <s v="35-45"/>
    <d v="2020-09-18T00:00:00"/>
    <n v="47071"/>
    <n v="0"/>
    <n v="47071"/>
    <s v="United States"/>
    <s v="Columbus"/>
    <m/>
    <n v="410"/>
    <n v="0"/>
    <s v="EMP-"/>
    <n v="5"/>
    <s v="Active"/>
  </r>
  <r>
    <s v="EMP-411"/>
    <x v="30"/>
    <s v="IT"/>
    <s v="Manufacturing"/>
    <s v="Female"/>
    <n v="55"/>
    <s v="55-65"/>
    <d v="2011-11-21T00:00:00"/>
    <n v="81218"/>
    <n v="0"/>
    <n v="81218"/>
    <s v="United States"/>
    <s v="Chicago"/>
    <m/>
    <n v="411"/>
    <n v="0"/>
    <s v="EMP-"/>
    <n v="14"/>
    <s v="Active"/>
  </r>
  <r>
    <s v="EMP-412"/>
    <x v="9"/>
    <s v="Engineering"/>
    <s v="Manufacturing"/>
    <s v="Female"/>
    <n v="50"/>
    <s v="45-55"/>
    <d v="2008-10-13T00:00:00"/>
    <n v="181801"/>
    <n v="0.4"/>
    <n v="254521.40000000002"/>
    <s v="China"/>
    <s v="Chongqing"/>
    <d v="2019-12-11T00:00:00"/>
    <n v="412"/>
    <n v="1"/>
    <s v="EMP-"/>
    <n v="11"/>
    <s v="Inactive"/>
  </r>
  <r>
    <s v="EMP-413"/>
    <x v="5"/>
    <s v="Sales"/>
    <s v="Manufacturing"/>
    <s v="Female"/>
    <n v="26"/>
    <s v="25-35"/>
    <d v="2021-11-21T00:00:00"/>
    <n v="63137"/>
    <n v="0"/>
    <n v="63137"/>
    <s v="United States"/>
    <s v="Chicago"/>
    <m/>
    <n v="413"/>
    <n v="0"/>
    <s v="EMP-"/>
    <n v="4"/>
    <s v="Active"/>
  </r>
  <r>
    <s v="EMP-414"/>
    <x v="9"/>
    <s v="Engineering"/>
    <s v="Manufacturing"/>
    <s v="Female"/>
    <n v="55"/>
    <s v="55-65"/>
    <d v="2018-09-02T00:00:00"/>
    <n v="221465"/>
    <n v="0.34"/>
    <n v="296763.09999999998"/>
    <s v="China"/>
    <s v="Chengdu"/>
    <m/>
    <n v="414"/>
    <n v="0"/>
    <s v="EMP-"/>
    <n v="7"/>
    <s v="Active"/>
  </r>
  <r>
    <s v="EMP-415"/>
    <x v="10"/>
    <s v="Engineering"/>
    <s v="Research &amp; Development"/>
    <s v="Female"/>
    <n v="50"/>
    <s v="45-55"/>
    <d v="2013-05-10T00:00:00"/>
    <n v="79388"/>
    <n v="0"/>
    <n v="79388"/>
    <s v="United States"/>
    <s v="Austin"/>
    <d v="2019-08-04T00:00:00"/>
    <n v="415"/>
    <n v="1"/>
    <s v="EMP-"/>
    <n v="6"/>
    <s v="Inactive"/>
  </r>
  <r>
    <s v="EMP-416"/>
    <x v="29"/>
    <s v="IT"/>
    <s v="Manufacturing"/>
    <s v="Female"/>
    <n v="28"/>
    <s v="25-35"/>
    <d v="2018-01-22T00:00:00"/>
    <n v="68176"/>
    <n v="0"/>
    <n v="68176"/>
    <s v="United States"/>
    <s v="Seattle"/>
    <m/>
    <n v="416"/>
    <n v="0"/>
    <s v="EMP-"/>
    <n v="8"/>
    <s v="Active"/>
  </r>
  <r>
    <s v="EMP-417"/>
    <x v="0"/>
    <s v="Finance"/>
    <s v="Research &amp; Development"/>
    <s v="Female"/>
    <n v="39"/>
    <s v="35-45"/>
    <d v="2019-10-18T00:00:00"/>
    <n v="122829"/>
    <n v="0.11"/>
    <n v="136340.19"/>
    <s v="United States"/>
    <s v="Chicago"/>
    <m/>
    <n v="417"/>
    <n v="0"/>
    <s v="EMP-"/>
    <n v="6"/>
    <s v="Active"/>
  </r>
  <r>
    <s v="EMP-418"/>
    <x v="0"/>
    <s v="Marketing"/>
    <s v="Speciality Products"/>
    <s v="Female"/>
    <n v="31"/>
    <s v="25-35"/>
    <d v="2019-08-18T00:00:00"/>
    <n v="126353"/>
    <n v="0.12"/>
    <n v="141515.35999999999"/>
    <s v="China"/>
    <s v="Shanghai"/>
    <m/>
    <n v="418"/>
    <n v="0"/>
    <s v="EMP-"/>
    <n v="6"/>
    <s v="Active"/>
  </r>
  <r>
    <s v="EMP-419"/>
    <x v="2"/>
    <s v="Accounting"/>
    <s v="Speciality Products"/>
    <s v="Female"/>
    <n v="55"/>
    <s v="55-65"/>
    <d v="2010-10-17T00:00:00"/>
    <n v="188727"/>
    <n v="0.23"/>
    <n v="232134.21"/>
    <s v="China"/>
    <s v="Chengdu"/>
    <m/>
    <n v="419"/>
    <n v="0"/>
    <s v="EMP-"/>
    <n v="15"/>
    <s v="Active"/>
  </r>
  <r>
    <s v="EMP-420"/>
    <x v="4"/>
    <s v="Sales"/>
    <s v="Research &amp; Development"/>
    <s v="Male"/>
    <n v="52"/>
    <s v="45-55"/>
    <d v="1994-02-18T00:00:00"/>
    <n v="99624"/>
    <n v="0"/>
    <n v="99624"/>
    <s v="United States"/>
    <s v="Seattle"/>
    <m/>
    <n v="420"/>
    <n v="0"/>
    <s v="EMP-"/>
    <n v="32"/>
    <s v="Active"/>
  </r>
  <r>
    <s v="EMP-421"/>
    <x v="6"/>
    <s v="Sales"/>
    <s v="Speciality Products"/>
    <s v="Female"/>
    <n v="55"/>
    <s v="55-65"/>
    <d v="2012-10-20T00:00:00"/>
    <n v="108686"/>
    <n v="0.06"/>
    <n v="115207.16"/>
    <s v="United States"/>
    <s v="Columbus"/>
    <m/>
    <n v="421"/>
    <n v="0"/>
    <s v="EMP-"/>
    <n v="13"/>
    <s v="Active"/>
  </r>
  <r>
    <s v="EMP-422"/>
    <x v="7"/>
    <s v="Accounting"/>
    <s v="Corporate"/>
    <s v="Female"/>
    <n v="56"/>
    <s v="55-65"/>
    <d v="1995-04-13T00:00:00"/>
    <n v="50857"/>
    <n v="0"/>
    <n v="50857"/>
    <s v="Brazil"/>
    <s v="Manaus"/>
    <m/>
    <n v="422"/>
    <n v="0"/>
    <s v="EMP-"/>
    <n v="30"/>
    <s v="Active"/>
  </r>
  <r>
    <s v="EMP-423"/>
    <x v="19"/>
    <s v="Engineering"/>
    <s v="Manufacturing"/>
    <s v="Male"/>
    <n v="47"/>
    <s v="45-55"/>
    <d v="2001-01-02T00:00:00"/>
    <n v="120628"/>
    <n v="0"/>
    <n v="120628"/>
    <s v="United States"/>
    <s v="Chicago"/>
    <m/>
    <n v="423"/>
    <n v="0"/>
    <s v="EMP-"/>
    <n v="25"/>
    <s v="Active"/>
  </r>
  <r>
    <s v="EMP-424"/>
    <x v="2"/>
    <s v="Sales"/>
    <s v="Speciality Products"/>
    <s v="Female"/>
    <n v="63"/>
    <s v="55-65"/>
    <d v="2020-06-14T00:00:00"/>
    <n v="181216"/>
    <n v="0.27"/>
    <n v="230144.32"/>
    <s v="United States"/>
    <s v="Columbus"/>
    <m/>
    <n v="424"/>
    <n v="0"/>
    <s v="EMP-"/>
    <n v="5"/>
    <s v="Active"/>
  </r>
  <r>
    <s v="EMP-425"/>
    <x v="7"/>
    <s v="Finance"/>
    <s v="Corporate"/>
    <s v="Female"/>
    <n v="63"/>
    <s v="55-65"/>
    <d v="2012-03-16T00:00:00"/>
    <n v="46081"/>
    <n v="0"/>
    <n v="46081"/>
    <s v="United States"/>
    <s v="Chicago"/>
    <m/>
    <n v="425"/>
    <n v="0"/>
    <s v="EMP-"/>
    <n v="14"/>
    <s v="Active"/>
  </r>
  <r>
    <s v="EMP-426"/>
    <x v="0"/>
    <s v="Accounting"/>
    <s v="Corporate"/>
    <s v="Female"/>
    <n v="55"/>
    <s v="55-65"/>
    <d v="2004-05-28T00:00:00"/>
    <n v="159885"/>
    <n v="0.12"/>
    <n v="179071.2"/>
    <s v="United States"/>
    <s v="Columbus"/>
    <m/>
    <n v="426"/>
    <n v="0"/>
    <s v="EMP-"/>
    <n v="21"/>
    <s v="Active"/>
  </r>
  <r>
    <s v="EMP-427"/>
    <x v="2"/>
    <s v="Sales"/>
    <s v="Manufacturing"/>
    <s v="Female"/>
    <n v="55"/>
    <s v="55-65"/>
    <d v="1995-10-29T00:00:00"/>
    <n v="153271"/>
    <n v="0.15"/>
    <n v="176261.65"/>
    <s v="United States"/>
    <s v="Austin"/>
    <m/>
    <n v="427"/>
    <n v="0"/>
    <s v="EMP-"/>
    <n v="30"/>
    <s v="Active"/>
  </r>
  <r>
    <s v="EMP-428"/>
    <x v="6"/>
    <s v="Human Resources"/>
    <s v="Manufacturing"/>
    <s v="Male"/>
    <n v="42"/>
    <s v="35-45"/>
    <d v="2009-12-12T00:00:00"/>
    <n v="114242"/>
    <n v="0.08"/>
    <n v="123381.36"/>
    <s v="United States"/>
    <s v="Phoenix"/>
    <m/>
    <n v="428"/>
    <n v="0"/>
    <s v="EMP-"/>
    <n v="16"/>
    <s v="Active"/>
  </r>
  <r>
    <s v="EMP-429"/>
    <x v="12"/>
    <s v="IT"/>
    <s v="Speciality Products"/>
    <s v="Female"/>
    <n v="39"/>
    <s v="35-45"/>
    <d v="2020-11-18T00:00:00"/>
    <n v="48415"/>
    <n v="0"/>
    <n v="48415"/>
    <s v="China"/>
    <s v="Shanghai"/>
    <m/>
    <n v="429"/>
    <n v="0"/>
    <s v="EMP-"/>
    <n v="5"/>
    <s v="Active"/>
  </r>
  <r>
    <s v="EMP-430"/>
    <x v="25"/>
    <s v="Engineering"/>
    <s v="Manufacturing"/>
    <s v="Male"/>
    <n v="35"/>
    <s v="35-45"/>
    <d v="2017-05-23T00:00:00"/>
    <n v="65566"/>
    <n v="0"/>
    <n v="65566"/>
    <s v="United States"/>
    <s v="Seattle"/>
    <m/>
    <n v="430"/>
    <n v="0"/>
    <s v="EMP-"/>
    <n v="8"/>
    <s v="Active"/>
  </r>
  <r>
    <s v="EMP-431"/>
    <x v="0"/>
    <s v="Marketing"/>
    <s v="Research &amp; Development"/>
    <s v="Male"/>
    <n v="45"/>
    <s v="45-55"/>
    <d v="2001-05-03T00:00:00"/>
    <n v="147752"/>
    <n v="0.12"/>
    <n v="165482.23999999999"/>
    <s v="China"/>
    <s v="Shanghai"/>
    <d v="2011-12-26T00:00:00"/>
    <n v="431"/>
    <n v="1"/>
    <s v="EMP-"/>
    <n v="10"/>
    <s v="Inactive"/>
  </r>
  <r>
    <s v="EMP-432"/>
    <x v="0"/>
    <s v="Marketing"/>
    <s v="Manufacturing"/>
    <s v="Female"/>
    <n v="25"/>
    <s v="25-35"/>
    <d v="2021-09-14T00:00:00"/>
    <n v="136810"/>
    <n v="0.14000000000000001"/>
    <n v="155963.4"/>
    <s v="China"/>
    <s v="Chongqing"/>
    <m/>
    <n v="432"/>
    <n v="0"/>
    <s v="EMP-"/>
    <n v="4"/>
    <s v="Active"/>
  </r>
  <r>
    <s v="EMP-433"/>
    <x v="7"/>
    <s v="Sales"/>
    <s v="Corporate"/>
    <s v="Male"/>
    <n v="47"/>
    <s v="45-55"/>
    <d v="2013-02-28T00:00:00"/>
    <n v="54635"/>
    <n v="0"/>
    <n v="54635"/>
    <s v="United States"/>
    <s v="Chicago"/>
    <m/>
    <n v="433"/>
    <n v="0"/>
    <s v="EMP-"/>
    <n v="13"/>
    <s v="Active"/>
  </r>
  <r>
    <s v="EMP-434"/>
    <x v="21"/>
    <s v="IT"/>
    <s v="Corporate"/>
    <s v="Female"/>
    <n v="42"/>
    <s v="35-45"/>
    <d v="2020-02-05T00:00:00"/>
    <n v="96636"/>
    <n v="0"/>
    <n v="96636"/>
    <s v="United States"/>
    <s v="Columbus"/>
    <m/>
    <n v="434"/>
    <n v="0"/>
    <s v="EMP-"/>
    <n v="6"/>
    <s v="Active"/>
  </r>
  <r>
    <s v="EMP-435"/>
    <x v="27"/>
    <s v="IT"/>
    <s v="Manufacturing"/>
    <s v="Female"/>
    <n v="35"/>
    <s v="35-45"/>
    <d v="2014-10-29T00:00:00"/>
    <n v="91592"/>
    <n v="0"/>
    <n v="91592"/>
    <s v="United States"/>
    <s v="Chicago"/>
    <m/>
    <n v="435"/>
    <n v="0"/>
    <s v="EMP-"/>
    <n v="11"/>
    <s v="Active"/>
  </r>
  <r>
    <s v="EMP-436"/>
    <x v="20"/>
    <s v="Human Resources"/>
    <s v="Research &amp; Development"/>
    <s v="Female"/>
    <n v="45"/>
    <s v="45-55"/>
    <d v="2000-08-17T00:00:00"/>
    <n v="55563"/>
    <n v="0"/>
    <n v="55563"/>
    <s v="China"/>
    <s v="Chengdu"/>
    <m/>
    <n v="436"/>
    <n v="0"/>
    <s v="EMP-"/>
    <n v="25"/>
    <s v="Active"/>
  </r>
  <r>
    <s v="EMP-437"/>
    <x v="2"/>
    <s v="IT"/>
    <s v="Research &amp; Development"/>
    <s v="Female"/>
    <n v="52"/>
    <s v="45-55"/>
    <d v="1996-02-14T00:00:00"/>
    <n v="159724"/>
    <n v="0.23"/>
    <n v="196460.52000000002"/>
    <s v="China"/>
    <s v="Beijing"/>
    <m/>
    <n v="437"/>
    <n v="0"/>
    <s v="EMP-"/>
    <n v="30"/>
    <s v="Active"/>
  </r>
  <r>
    <s v="EMP-438"/>
    <x v="9"/>
    <s v="Marketing"/>
    <s v="Corporate"/>
    <s v="Male"/>
    <n v="57"/>
    <s v="55-65"/>
    <d v="2017-08-04T00:00:00"/>
    <n v="183190"/>
    <n v="0.36"/>
    <n v="249138.4"/>
    <s v="United States"/>
    <s v="Chicago"/>
    <m/>
    <n v="438"/>
    <n v="0"/>
    <s v="EMP-"/>
    <n v="8"/>
    <s v="Active"/>
  </r>
  <r>
    <s v="EMP-439"/>
    <x v="7"/>
    <s v="Accounting"/>
    <s v="Speciality Products"/>
    <s v="Female"/>
    <n v="56"/>
    <s v="55-65"/>
    <d v="2019-12-25T00:00:00"/>
    <n v="54829"/>
    <n v="0"/>
    <n v="54829"/>
    <s v="United States"/>
    <s v="Phoenix"/>
    <m/>
    <n v="439"/>
    <n v="0"/>
    <s v="EMP-"/>
    <n v="6"/>
    <s v="Active"/>
  </r>
  <r>
    <s v="EMP-440"/>
    <x v="10"/>
    <s v="Engineering"/>
    <s v="Corporate"/>
    <s v="Male"/>
    <n v="46"/>
    <s v="45-55"/>
    <d v="2005-04-22T00:00:00"/>
    <n v="96639"/>
    <n v="0"/>
    <n v="96639"/>
    <s v="Brazil"/>
    <s v="Rio de Janerio"/>
    <m/>
    <n v="440"/>
    <n v="0"/>
    <s v="EMP-"/>
    <n v="20"/>
    <s v="Active"/>
  </r>
  <r>
    <s v="EMP-441"/>
    <x v="6"/>
    <s v="Marketing"/>
    <s v="Speciality Products"/>
    <s v="Female"/>
    <n v="43"/>
    <s v="35-45"/>
    <d v="2006-06-11T00:00:00"/>
    <n v="117278"/>
    <n v="0.09"/>
    <n v="127833.02"/>
    <s v="United States"/>
    <s v="Miami"/>
    <m/>
    <n v="441"/>
    <n v="0"/>
    <s v="EMP-"/>
    <n v="19"/>
    <s v="Active"/>
  </r>
  <r>
    <s v="EMP-442"/>
    <x v="3"/>
    <s v="IT"/>
    <s v="Speciality Products"/>
    <s v="Male"/>
    <n v="53"/>
    <s v="45-55"/>
    <d v="2008-02-09T00:00:00"/>
    <n v="84193"/>
    <n v="0.09"/>
    <n v="91770.37"/>
    <s v="China"/>
    <s v="Shanghai"/>
    <m/>
    <n v="442"/>
    <n v="0"/>
    <s v="EMP-"/>
    <n v="18"/>
    <s v="Active"/>
  </r>
  <r>
    <s v="EMP-443"/>
    <x v="32"/>
    <s v="IT"/>
    <s v="Manufacturing"/>
    <s v="Female"/>
    <n v="47"/>
    <s v="45-55"/>
    <d v="2018-07-28T00:00:00"/>
    <n v="87806"/>
    <n v="0"/>
    <n v="87806"/>
    <s v="United States"/>
    <s v="Seattle"/>
    <m/>
    <n v="443"/>
    <n v="0"/>
    <s v="EMP-"/>
    <n v="7"/>
    <s v="Active"/>
  </r>
  <r>
    <s v="EMP-444"/>
    <x v="22"/>
    <s v="Engineering"/>
    <s v="Research &amp; Development"/>
    <s v="Male"/>
    <n v="62"/>
    <s v="55-65"/>
    <d v="2011-10-04T00:00:00"/>
    <n v="63959"/>
    <n v="0"/>
    <n v="63959"/>
    <s v="United States"/>
    <s v="Seattle"/>
    <m/>
    <n v="444"/>
    <n v="0"/>
    <s v="EMP-"/>
    <n v="14"/>
    <s v="Active"/>
  </r>
  <r>
    <s v="EMP-445"/>
    <x v="9"/>
    <s v="IT"/>
    <s v="Research &amp; Development"/>
    <s v="Male"/>
    <n v="35"/>
    <s v="35-45"/>
    <d v="2015-06-11T00:00:00"/>
    <n v="234723"/>
    <n v="0.36"/>
    <n v="319223.28000000003"/>
    <s v="China"/>
    <s v="Shanghai"/>
    <m/>
    <n v="445"/>
    <n v="0"/>
    <s v="EMP-"/>
    <n v="10"/>
    <s v="Active"/>
  </r>
  <r>
    <s v="EMP-446"/>
    <x v="7"/>
    <s v="Accounting"/>
    <s v="Corporate"/>
    <s v="Female"/>
    <n v="27"/>
    <s v="25-35"/>
    <d v="2019-08-24T00:00:00"/>
    <n v="50809"/>
    <n v="0"/>
    <n v="50809"/>
    <s v="China"/>
    <s v="Chongqing"/>
    <m/>
    <n v="446"/>
    <n v="0"/>
    <s v="EMP-"/>
    <n v="6"/>
    <s v="Active"/>
  </r>
  <r>
    <s v="EMP-447"/>
    <x v="4"/>
    <s v="Finance"/>
    <s v="Manufacturing"/>
    <s v="Male"/>
    <n v="55"/>
    <s v="55-65"/>
    <d v="2002-07-19T00:00:00"/>
    <n v="77396"/>
    <n v="0"/>
    <n v="77396"/>
    <s v="United States"/>
    <s v="Miami"/>
    <m/>
    <n v="447"/>
    <n v="0"/>
    <s v="EMP-"/>
    <n v="23"/>
    <s v="Active"/>
  </r>
  <r>
    <s v="EMP-448"/>
    <x v="4"/>
    <s v="Finance"/>
    <s v="Speciality Products"/>
    <s v="Female"/>
    <n v="63"/>
    <s v="55-65"/>
    <d v="1999-12-31T00:00:00"/>
    <n v="89523"/>
    <n v="0"/>
    <n v="89523"/>
    <s v="United States"/>
    <s v="Phoenix"/>
    <m/>
    <n v="448"/>
    <n v="0"/>
    <s v="EMP-"/>
    <n v="26"/>
    <s v="Active"/>
  </r>
  <r>
    <s v="EMP-449"/>
    <x v="21"/>
    <s v="IT"/>
    <s v="Corporate"/>
    <s v="Female"/>
    <n v="53"/>
    <s v="45-55"/>
    <d v="2011-07-20T00:00:00"/>
    <n v="86173"/>
    <n v="0"/>
    <n v="86173"/>
    <s v="China"/>
    <s v="Chongqing"/>
    <m/>
    <n v="449"/>
    <n v="0"/>
    <s v="EMP-"/>
    <n v="14"/>
    <s v="Active"/>
  </r>
  <r>
    <s v="EMP-450"/>
    <x v="9"/>
    <s v="Sales"/>
    <s v="Manufacturing"/>
    <s v="Female"/>
    <n v="54"/>
    <s v="45-55"/>
    <d v="2000-08-19T00:00:00"/>
    <n v="222224"/>
    <n v="0.38"/>
    <n v="306669.12"/>
    <s v="United States"/>
    <s v="Columbus"/>
    <m/>
    <n v="450"/>
    <n v="0"/>
    <s v="EMP-"/>
    <n v="25"/>
    <s v="Active"/>
  </r>
  <r>
    <s v="EMP-451"/>
    <x v="0"/>
    <s v="Finance"/>
    <s v="Research &amp; Development"/>
    <s v="Male"/>
    <n v="43"/>
    <s v="35-45"/>
    <d v="2021-04-17T00:00:00"/>
    <n v="146140"/>
    <n v="0.15"/>
    <n v="168061"/>
    <s v="United States"/>
    <s v="Seattle"/>
    <m/>
    <n v="451"/>
    <n v="0"/>
    <s v="EMP-"/>
    <n v="4"/>
    <s v="Active"/>
  </r>
  <r>
    <s v="EMP-452"/>
    <x v="11"/>
    <s v="Engineering"/>
    <s v="Speciality Products"/>
    <s v="Female"/>
    <n v="64"/>
    <s v="55-65"/>
    <d v="1994-06-20T00:00:00"/>
    <n v="109456"/>
    <n v="0.1"/>
    <n v="120401.60000000001"/>
    <s v="United States"/>
    <s v="Chicago"/>
    <m/>
    <n v="452"/>
    <n v="0"/>
    <s v="EMP-"/>
    <n v="31"/>
    <s v="Active"/>
  </r>
  <r>
    <s v="EMP-453"/>
    <x v="2"/>
    <s v="Finance"/>
    <s v="Research &amp; Development"/>
    <s v="Female"/>
    <n v="65"/>
    <s v="65-100"/>
    <d v="2008-10-07T00:00:00"/>
    <n v="170221"/>
    <n v="0.15"/>
    <n v="195754.15"/>
    <s v="Brazil"/>
    <s v="Manaus"/>
    <m/>
    <n v="453"/>
    <n v="0"/>
    <s v="EMP-"/>
    <n v="17"/>
    <s v="Active"/>
  </r>
  <r>
    <s v="EMP-454"/>
    <x v="3"/>
    <s v="IT"/>
    <s v="Research &amp; Development"/>
    <s v="Female"/>
    <n v="42"/>
    <s v="35-45"/>
    <d v="2006-03-01T00:00:00"/>
    <n v="97433"/>
    <n v="0.05"/>
    <n v="102304.65"/>
    <s v="United States"/>
    <s v="Seattle"/>
    <d v="2015-08-08T00:00:00"/>
    <n v="454"/>
    <n v="1"/>
    <s v="EMP-"/>
    <n v="9"/>
    <s v="Inactive"/>
  </r>
  <r>
    <s v="EMP-455"/>
    <x v="5"/>
    <s v="Sales"/>
    <s v="Manufacturing"/>
    <s v="Male"/>
    <n v="35"/>
    <s v="35-45"/>
    <d v="2013-08-30T00:00:00"/>
    <n v="59646"/>
    <n v="0"/>
    <n v="59646"/>
    <s v="China"/>
    <s v="Shanghai"/>
    <m/>
    <n v="455"/>
    <n v="0"/>
    <s v="EMP-"/>
    <n v="12"/>
    <s v="Active"/>
  </r>
  <r>
    <s v="EMP-456"/>
    <x v="2"/>
    <s v="Engineering"/>
    <s v="Speciality Products"/>
    <s v="Male"/>
    <n v="64"/>
    <s v="55-65"/>
    <d v="1995-08-29T00:00:00"/>
    <n v="158787"/>
    <n v="0.18"/>
    <n v="187368.66"/>
    <s v="China"/>
    <s v="Chengdu"/>
    <m/>
    <n v="456"/>
    <n v="0"/>
    <s v="EMP-"/>
    <n v="30"/>
    <s v="Active"/>
  </r>
  <r>
    <s v="EMP-457"/>
    <x v="8"/>
    <s v="Engineering"/>
    <s v="Research &amp; Development"/>
    <s v="Male"/>
    <n v="55"/>
    <s v="55-65"/>
    <d v="2018-04-29T00:00:00"/>
    <n v="83378"/>
    <n v="0"/>
    <n v="83378"/>
    <s v="China"/>
    <s v="Beijing"/>
    <m/>
    <n v="457"/>
    <n v="0"/>
    <s v="EMP-"/>
    <n v="7"/>
    <s v="Active"/>
  </r>
  <r>
    <s v="EMP-458"/>
    <x v="4"/>
    <s v="Marketing"/>
    <s v="Corporate"/>
    <s v="Female"/>
    <n v="32"/>
    <s v="25-35"/>
    <d v="2013-11-12T00:00:00"/>
    <n v="88895"/>
    <n v="0"/>
    <n v="88895"/>
    <s v="United States"/>
    <s v="Chicago"/>
    <m/>
    <n v="458"/>
    <n v="0"/>
    <s v="EMP-"/>
    <n v="12"/>
    <s v="Active"/>
  </r>
  <r>
    <s v="EMP-459"/>
    <x v="2"/>
    <s v="Marketing"/>
    <s v="Corporate"/>
    <s v="Male"/>
    <n v="45"/>
    <s v="45-55"/>
    <d v="2004-12-11T00:00:00"/>
    <n v="168846"/>
    <n v="0.24"/>
    <n v="209369.04"/>
    <s v="China"/>
    <s v="Chongqing"/>
    <m/>
    <n v="459"/>
    <n v="0"/>
    <s v="EMP-"/>
    <n v="21"/>
    <s v="Active"/>
  </r>
  <r>
    <s v="EMP-460"/>
    <x v="20"/>
    <s v="Human Resources"/>
    <s v="Research &amp; Development"/>
    <s v="Male"/>
    <n v="35"/>
    <s v="35-45"/>
    <d v="2011-02-22T00:00:00"/>
    <n v="43336"/>
    <n v="0"/>
    <n v="43336"/>
    <s v="United States"/>
    <s v="Austin"/>
    <d v="2020-07-12T00:00:00"/>
    <n v="460"/>
    <n v="1"/>
    <s v="EMP-"/>
    <n v="9"/>
    <s v="Inactive"/>
  </r>
  <r>
    <s v="EMP-461"/>
    <x v="0"/>
    <s v="Human Resources"/>
    <s v="Corporate"/>
    <s v="Male"/>
    <n v="38"/>
    <s v="35-45"/>
    <d v="2009-09-27T00:00:00"/>
    <n v="127801"/>
    <n v="0.15"/>
    <n v="146971.15"/>
    <s v="United States"/>
    <s v="Phoenix"/>
    <m/>
    <n v="461"/>
    <n v="0"/>
    <s v="EMP-"/>
    <n v="16"/>
    <s v="Active"/>
  </r>
  <r>
    <s v="EMP-462"/>
    <x v="32"/>
    <s v="IT"/>
    <s v="Corporate"/>
    <s v="Male"/>
    <n v="54"/>
    <s v="45-55"/>
    <d v="2000-04-01T00:00:00"/>
    <n v="76352"/>
    <n v="0"/>
    <n v="76352"/>
    <s v="United States"/>
    <s v="Austin"/>
    <m/>
    <n v="462"/>
    <n v="0"/>
    <s v="EMP-"/>
    <n v="25"/>
    <s v="Active"/>
  </r>
  <r>
    <s v="EMP-463"/>
    <x v="9"/>
    <s v="Finance"/>
    <s v="Corporate"/>
    <s v="Male"/>
    <n v="28"/>
    <s v="25-35"/>
    <d v="2019-06-22T00:00:00"/>
    <n v="250767"/>
    <n v="0.38"/>
    <n v="346058.46"/>
    <s v="United States"/>
    <s v="Seattle"/>
    <m/>
    <n v="463"/>
    <n v="0"/>
    <s v="EMP-"/>
    <n v="6"/>
    <s v="Active"/>
  </r>
  <r>
    <s v="EMP-464"/>
    <x v="9"/>
    <s v="Marketing"/>
    <s v="Corporate"/>
    <s v="Male"/>
    <n v="26"/>
    <s v="25-35"/>
    <d v="2020-09-27T00:00:00"/>
    <n v="223055"/>
    <n v="0.3"/>
    <n v="289971.5"/>
    <s v="United States"/>
    <s v="Columbus"/>
    <m/>
    <n v="464"/>
    <n v="0"/>
    <s v="EMP-"/>
    <n v="5"/>
    <s v="Active"/>
  </r>
  <r>
    <s v="EMP-465"/>
    <x v="2"/>
    <s v="Engineering"/>
    <s v="Corporate"/>
    <s v="Male"/>
    <n v="45"/>
    <s v="45-55"/>
    <d v="2007-04-13T00:00:00"/>
    <n v="189680"/>
    <n v="0.23"/>
    <n v="233306.4"/>
    <s v="Brazil"/>
    <s v="Sao Paulo"/>
    <m/>
    <n v="465"/>
    <n v="0"/>
    <s v="EMP-"/>
    <n v="18"/>
    <s v="Active"/>
  </r>
  <r>
    <s v="EMP-466"/>
    <x v="22"/>
    <s v="Engineering"/>
    <s v="Manufacturing"/>
    <s v="Male"/>
    <n v="57"/>
    <s v="55-65"/>
    <d v="2018-07-18T00:00:00"/>
    <n v="71167"/>
    <n v="0"/>
    <n v="71167"/>
    <s v="United States"/>
    <s v="Columbus"/>
    <m/>
    <n v="466"/>
    <n v="0"/>
    <s v="EMP-"/>
    <n v="7"/>
    <s v="Active"/>
  </r>
  <r>
    <s v="EMP-467"/>
    <x v="1"/>
    <s v="IT"/>
    <s v="Speciality Products"/>
    <s v="Female"/>
    <n v="59"/>
    <s v="55-65"/>
    <d v="2010-04-04T00:00:00"/>
    <n v="76027"/>
    <n v="0"/>
    <n v="76027"/>
    <s v="United States"/>
    <s v="Seattle"/>
    <m/>
    <n v="467"/>
    <n v="0"/>
    <s v="EMP-"/>
    <n v="15"/>
    <s v="Active"/>
  </r>
  <r>
    <s v="EMP-468"/>
    <x v="2"/>
    <s v="Engineering"/>
    <s v="Corporate"/>
    <s v="Male"/>
    <n v="48"/>
    <s v="45-55"/>
    <d v="2019-12-10T00:00:00"/>
    <n v="183113"/>
    <n v="0.24"/>
    <n v="227060.12"/>
    <s v="Brazil"/>
    <s v="Rio de Janerio"/>
    <m/>
    <n v="468"/>
    <n v="0"/>
    <s v="EMP-"/>
    <n v="6"/>
    <s v="Active"/>
  </r>
  <r>
    <s v="EMP-469"/>
    <x v="13"/>
    <s v="Accounting"/>
    <s v="Manufacturing"/>
    <s v="Male"/>
    <n v="30"/>
    <s v="25-35"/>
    <d v="2020-10-20T00:00:00"/>
    <n v="67753"/>
    <n v="0"/>
    <n v="67753"/>
    <s v="United States"/>
    <s v="Phoenix"/>
    <m/>
    <n v="469"/>
    <n v="0"/>
    <s v="EMP-"/>
    <n v="5"/>
    <s v="Active"/>
  </r>
  <r>
    <s v="EMP-470"/>
    <x v="3"/>
    <s v="IT"/>
    <s v="Corporate"/>
    <s v="Male"/>
    <n v="31"/>
    <s v="25-35"/>
    <d v="2016-10-13T00:00:00"/>
    <n v="63744"/>
    <n v="0.08"/>
    <n v="68843.520000000004"/>
    <s v="United States"/>
    <s v="Austin"/>
    <m/>
    <n v="470"/>
    <n v="0"/>
    <s v="EMP-"/>
    <n v="9"/>
    <s v="Active"/>
  </r>
  <r>
    <s v="EMP-471"/>
    <x v="10"/>
    <s v="Engineering"/>
    <s v="Manufacturing"/>
    <s v="Female"/>
    <n v="50"/>
    <s v="45-55"/>
    <d v="2002-07-09T00:00:00"/>
    <n v="92209"/>
    <n v="0"/>
    <n v="92209"/>
    <s v="China"/>
    <s v="Shanghai"/>
    <m/>
    <n v="471"/>
    <n v="0"/>
    <s v="EMP-"/>
    <n v="23"/>
    <s v="Active"/>
  </r>
  <r>
    <s v="EMP-472"/>
    <x v="0"/>
    <s v="Sales"/>
    <s v="Corporate"/>
    <s v="Male"/>
    <n v="51"/>
    <s v="45-55"/>
    <d v="2000-09-01T00:00:00"/>
    <n v="157487"/>
    <n v="0.12"/>
    <n v="176385.44"/>
    <s v="United States"/>
    <s v="Phoenix"/>
    <m/>
    <n v="472"/>
    <n v="0"/>
    <s v="EMP-"/>
    <n v="25"/>
    <s v="Active"/>
  </r>
  <r>
    <s v="EMP-473"/>
    <x v="4"/>
    <s v="Marketing"/>
    <s v="Research &amp; Development"/>
    <s v="Male"/>
    <n v="42"/>
    <s v="35-45"/>
    <d v="2015-04-07T00:00:00"/>
    <n v="99697"/>
    <n v="0"/>
    <n v="99697"/>
    <s v="Brazil"/>
    <s v="Rio de Janerio"/>
    <m/>
    <n v="473"/>
    <n v="0"/>
    <s v="EMP-"/>
    <n v="10"/>
    <s v="Active"/>
  </r>
  <r>
    <s v="EMP-474"/>
    <x v="32"/>
    <s v="IT"/>
    <s v="Research &amp; Development"/>
    <s v="Male"/>
    <n v="45"/>
    <s v="45-55"/>
    <d v="2010-02-26T00:00:00"/>
    <n v="90770"/>
    <n v="0"/>
    <n v="90770"/>
    <s v="United States"/>
    <s v="Columbus"/>
    <m/>
    <n v="474"/>
    <n v="0"/>
    <s v="EMP-"/>
    <n v="16"/>
    <s v="Active"/>
  </r>
  <r>
    <s v="EMP-475"/>
    <x v="7"/>
    <s v="Sales"/>
    <s v="Speciality Products"/>
    <s v="Female"/>
    <n v="64"/>
    <s v="55-65"/>
    <d v="2005-01-28T00:00:00"/>
    <n v="55369"/>
    <n v="0"/>
    <n v="55369"/>
    <s v="United States"/>
    <s v="Phoenix"/>
    <m/>
    <n v="475"/>
    <n v="0"/>
    <s v="EMP-"/>
    <n v="21"/>
    <s v="Active"/>
  </r>
  <r>
    <s v="EMP-476"/>
    <x v="17"/>
    <s v="Engineering"/>
    <s v="Speciality Products"/>
    <s v="Female"/>
    <n v="59"/>
    <s v="55-65"/>
    <d v="2014-09-16T00:00:00"/>
    <n v="69578"/>
    <n v="0"/>
    <n v="69578"/>
    <s v="Brazil"/>
    <s v="Rio de Janerio"/>
    <m/>
    <n v="476"/>
    <n v="0"/>
    <s v="EMP-"/>
    <n v="11"/>
    <s v="Active"/>
  </r>
  <r>
    <s v="EMP-477"/>
    <x v="2"/>
    <s v="Accounting"/>
    <s v="Speciality Products"/>
    <s v="Male"/>
    <n v="41"/>
    <s v="35-45"/>
    <d v="2013-06-04T00:00:00"/>
    <n v="167526"/>
    <n v="0.26"/>
    <n v="211082.76"/>
    <s v="United States"/>
    <s v="Miami"/>
    <m/>
    <n v="477"/>
    <n v="0"/>
    <s v="EMP-"/>
    <n v="12"/>
    <s v="Active"/>
  </r>
  <r>
    <s v="EMP-478"/>
    <x v="17"/>
    <s v="Engineering"/>
    <s v="Speciality Products"/>
    <s v="Female"/>
    <n v="42"/>
    <s v="35-45"/>
    <d v="2021-02-05T00:00:00"/>
    <n v="65507"/>
    <n v="0"/>
    <n v="65507"/>
    <s v="Brazil"/>
    <s v="Manaus"/>
    <m/>
    <n v="478"/>
    <n v="0"/>
    <s v="EMP-"/>
    <n v="5"/>
    <s v="Active"/>
  </r>
  <r>
    <s v="EMP-479"/>
    <x v="6"/>
    <s v="Finance"/>
    <s v="Research &amp; Development"/>
    <s v="Male"/>
    <n v="54"/>
    <s v="45-55"/>
    <d v="1998-04-28T00:00:00"/>
    <n v="108268"/>
    <n v="0.09"/>
    <n v="118012.12"/>
    <s v="Brazil"/>
    <s v="Sao Paulo"/>
    <d v="2004-05-15T00:00:00"/>
    <n v="479"/>
    <n v="1"/>
    <s v="EMP-"/>
    <n v="6"/>
    <s v="Inactive"/>
  </r>
  <r>
    <s v="EMP-480"/>
    <x v="1"/>
    <s v="IT"/>
    <s v="Research &amp; Development"/>
    <s v="Male"/>
    <n v="37"/>
    <s v="35-45"/>
    <d v="2016-02-05T00:00:00"/>
    <n v="80055"/>
    <n v="0"/>
    <n v="80055"/>
    <s v="China"/>
    <s v="Beijing"/>
    <m/>
    <n v="480"/>
    <n v="0"/>
    <s v="EMP-"/>
    <n v="10"/>
    <s v="Active"/>
  </r>
  <r>
    <s v="EMP-481"/>
    <x v="4"/>
    <s v="Sales"/>
    <s v="Research &amp; Development"/>
    <s v="Male"/>
    <n v="58"/>
    <s v="55-65"/>
    <d v="2009-04-27T00:00:00"/>
    <n v="76802"/>
    <n v="0"/>
    <n v="76802"/>
    <s v="Brazil"/>
    <s v="Manaus"/>
    <m/>
    <n v="481"/>
    <n v="0"/>
    <s v="EMP-"/>
    <n v="16"/>
    <s v="Active"/>
  </r>
  <r>
    <s v="EMP-482"/>
    <x v="9"/>
    <s v="Sales"/>
    <s v="Speciality Products"/>
    <s v="Male"/>
    <n v="47"/>
    <s v="45-55"/>
    <d v="2016-11-22T00:00:00"/>
    <n v="253249"/>
    <n v="0.31"/>
    <n v="331756.19"/>
    <s v="United States"/>
    <s v="Austin"/>
    <m/>
    <n v="482"/>
    <n v="0"/>
    <s v="EMP-"/>
    <n v="9"/>
    <s v="Active"/>
  </r>
  <r>
    <s v="EMP-483"/>
    <x v="15"/>
    <s v="Human Resources"/>
    <s v="Research &amp; Development"/>
    <s v="Female"/>
    <n v="60"/>
    <s v="55-65"/>
    <d v="2005-11-11T00:00:00"/>
    <n v="78388"/>
    <n v="0"/>
    <n v="78388"/>
    <s v="China"/>
    <s v="Chongqing"/>
    <m/>
    <n v="483"/>
    <n v="0"/>
    <s v="EMP-"/>
    <n v="20"/>
    <s v="Active"/>
  </r>
  <r>
    <s v="EMP-484"/>
    <x v="9"/>
    <s v="IT"/>
    <s v="Corporate"/>
    <s v="Male"/>
    <n v="38"/>
    <s v="35-45"/>
    <d v="2016-06-22T00:00:00"/>
    <n v="249870"/>
    <n v="0.34"/>
    <n v="334825.8"/>
    <s v="United States"/>
    <s v="Chicago"/>
    <m/>
    <n v="484"/>
    <n v="0"/>
    <s v="EMP-"/>
    <n v="9"/>
    <s v="Active"/>
  </r>
  <r>
    <s v="EMP-485"/>
    <x v="0"/>
    <s v="Marketing"/>
    <s v="Manufacturing"/>
    <s v="Male"/>
    <n v="63"/>
    <s v="55-65"/>
    <d v="2015-03-01T00:00:00"/>
    <n v="148321"/>
    <n v="0.15"/>
    <n v="170569.15"/>
    <s v="China"/>
    <s v="Beijing"/>
    <m/>
    <n v="485"/>
    <n v="0"/>
    <s v="EMP-"/>
    <n v="11"/>
    <s v="Active"/>
  </r>
  <r>
    <s v="EMP-486"/>
    <x v="31"/>
    <s v="IT"/>
    <s v="Corporate"/>
    <s v="Female"/>
    <n v="60"/>
    <s v="55-65"/>
    <d v="2004-02-10T00:00:00"/>
    <n v="90258"/>
    <n v="0"/>
    <n v="90258"/>
    <s v="China"/>
    <s v="Chongqing"/>
    <m/>
    <n v="486"/>
    <n v="0"/>
    <s v="EMP-"/>
    <n v="22"/>
    <s v="Active"/>
  </r>
  <r>
    <s v="EMP-487"/>
    <x v="27"/>
    <s v="IT"/>
    <s v="Manufacturing"/>
    <s v="Female"/>
    <n v="42"/>
    <s v="35-45"/>
    <d v="2011-02-19T00:00:00"/>
    <n v="72486"/>
    <n v="0"/>
    <n v="72486"/>
    <s v="United States"/>
    <s v="Seattle"/>
    <m/>
    <n v="487"/>
    <n v="0"/>
    <s v="EMP-"/>
    <n v="15"/>
    <s v="Active"/>
  </r>
  <r>
    <s v="EMP-488"/>
    <x v="4"/>
    <s v="Finance"/>
    <s v="Corporate"/>
    <s v="Male"/>
    <n v="34"/>
    <s v="25-35"/>
    <d v="2014-09-04T00:00:00"/>
    <n v="95499"/>
    <n v="0"/>
    <n v="95499"/>
    <s v="Brazil"/>
    <s v="Sao Paulo"/>
    <d v="2017-08-11T00:00:00"/>
    <n v="488"/>
    <n v="1"/>
    <s v="EMP-"/>
    <n v="2"/>
    <s v="Inactive"/>
  </r>
  <r>
    <s v="EMP-489"/>
    <x v="4"/>
    <s v="Accounting"/>
    <s v="Research &amp; Development"/>
    <s v="Female"/>
    <n v="53"/>
    <s v="45-55"/>
    <d v="2004-12-23T00:00:00"/>
    <n v="90212"/>
    <n v="0"/>
    <n v="90212"/>
    <s v="Brazil"/>
    <s v="Sao Paulo"/>
    <m/>
    <n v="489"/>
    <n v="0"/>
    <s v="EMP-"/>
    <n v="21"/>
    <s v="Active"/>
  </r>
  <r>
    <s v="EMP-490"/>
    <x v="9"/>
    <s v="Marketing"/>
    <s v="Research &amp; Development"/>
    <s v="Male"/>
    <n v="39"/>
    <s v="35-45"/>
    <d v="2019-12-05T00:00:00"/>
    <n v="254057"/>
    <n v="0.39"/>
    <n v="353139.23"/>
    <s v="China"/>
    <s v="Shanghai"/>
    <m/>
    <n v="490"/>
    <n v="0"/>
    <s v="EMP-"/>
    <n v="6"/>
    <s v="Active"/>
  </r>
  <r>
    <s v="EMP-491"/>
    <x v="20"/>
    <s v="Human Resources"/>
    <s v="Manufacturing"/>
    <s v="Female"/>
    <n v="58"/>
    <s v="55-65"/>
    <d v="2010-10-12T00:00:00"/>
    <n v="43001"/>
    <n v="0"/>
    <n v="43001"/>
    <s v="United States"/>
    <s v="Austin"/>
    <m/>
    <n v="491"/>
    <n v="0"/>
    <s v="EMP-"/>
    <n v="15"/>
    <s v="Active"/>
  </r>
  <r>
    <s v="EMP-492"/>
    <x v="3"/>
    <s v="IT"/>
    <s v="Manufacturing"/>
    <s v="Male"/>
    <n v="60"/>
    <s v="55-65"/>
    <d v="1998-08-03T00:00:00"/>
    <n v="85120"/>
    <n v="0.09"/>
    <n v="92780.800000000003"/>
    <s v="United States"/>
    <s v="Seattle"/>
    <m/>
    <n v="492"/>
    <n v="0"/>
    <s v="EMP-"/>
    <n v="27"/>
    <s v="Active"/>
  </r>
  <r>
    <s v="EMP-493"/>
    <x v="20"/>
    <s v="Human Resources"/>
    <s v="Manufacturing"/>
    <s v="Male"/>
    <n v="34"/>
    <s v="25-35"/>
    <d v="2015-08-03T00:00:00"/>
    <n v="52200"/>
    <n v="0"/>
    <n v="52200"/>
    <s v="United States"/>
    <s v="Columbus"/>
    <m/>
    <n v="493"/>
    <n v="0"/>
    <s v="EMP-"/>
    <n v="10"/>
    <s v="Active"/>
  </r>
  <r>
    <s v="EMP-494"/>
    <x v="0"/>
    <s v="Human Resources"/>
    <s v="Corporate"/>
    <s v="Female"/>
    <n v="60"/>
    <s v="55-65"/>
    <d v="2008-10-18T00:00:00"/>
    <n v="150855"/>
    <n v="0.11"/>
    <n v="167449.04999999999"/>
    <s v="United States"/>
    <s v="Phoenix"/>
    <m/>
    <n v="494"/>
    <n v="0"/>
    <s v="EMP-"/>
    <n v="17"/>
    <s v="Active"/>
  </r>
  <r>
    <s v="EMP-495"/>
    <x v="14"/>
    <s v="IT"/>
    <s v="Manufacturing"/>
    <s v="Female"/>
    <n v="53"/>
    <s v="45-55"/>
    <d v="2004-07-20T00:00:00"/>
    <n v="65702"/>
    <n v="0"/>
    <n v="65702"/>
    <s v="United States"/>
    <s v="Columbus"/>
    <m/>
    <n v="495"/>
    <n v="0"/>
    <s v="EMP-"/>
    <n v="21"/>
    <s v="Active"/>
  </r>
  <r>
    <s v="EMP-496"/>
    <x v="2"/>
    <s v="Finance"/>
    <s v="Corporate"/>
    <s v="Male"/>
    <n v="58"/>
    <s v="55-65"/>
    <d v="2007-10-12T00:00:00"/>
    <n v="162038"/>
    <n v="0.24"/>
    <n v="200927.12"/>
    <s v="China"/>
    <s v="Chongqing"/>
    <m/>
    <n v="496"/>
    <n v="0"/>
    <s v="EMP-"/>
    <n v="18"/>
    <s v="Active"/>
  </r>
  <r>
    <s v="EMP-497"/>
    <x v="0"/>
    <s v="Marketing"/>
    <s v="Research &amp; Development"/>
    <s v="Female"/>
    <n v="25"/>
    <s v="25-35"/>
    <d v="2020-04-09T00:00:00"/>
    <n v="157057"/>
    <n v="0.1"/>
    <n v="172762.7"/>
    <s v="United States"/>
    <s v="Columbus"/>
    <m/>
    <n v="497"/>
    <n v="0"/>
    <s v="EMP-"/>
    <n v="5"/>
    <s v="Active"/>
  </r>
  <r>
    <s v="EMP-498"/>
    <x v="6"/>
    <s v="IT"/>
    <s v="Research &amp; Development"/>
    <s v="Male"/>
    <n v="46"/>
    <s v="45-55"/>
    <d v="2021-08-11T00:00:00"/>
    <n v="127559"/>
    <n v="0.1"/>
    <n v="140314.9"/>
    <s v="United States"/>
    <s v="Austin"/>
    <m/>
    <n v="498"/>
    <n v="0"/>
    <s v="EMP-"/>
    <n v="4"/>
    <s v="Active"/>
  </r>
  <r>
    <s v="EMP-499"/>
    <x v="17"/>
    <s v="Engineering"/>
    <s v="Corporate"/>
    <s v="Female"/>
    <n v="39"/>
    <s v="35-45"/>
    <d v="2019-03-12T00:00:00"/>
    <n v="62644"/>
    <n v="0"/>
    <n v="62644"/>
    <s v="United States"/>
    <s v="Seattle"/>
    <m/>
    <n v="499"/>
    <n v="0"/>
    <s v="EMP-"/>
    <n v="7"/>
    <s v="Active"/>
  </r>
  <r>
    <s v="EMP-500"/>
    <x v="23"/>
    <s v="IT"/>
    <s v="Manufacturing"/>
    <s v="Male"/>
    <n v="50"/>
    <s v="45-55"/>
    <d v="2001-03-06T00:00:00"/>
    <n v="73907"/>
    <n v="0"/>
    <n v="73907"/>
    <s v="China"/>
    <s v="Shanghai"/>
    <m/>
    <n v="500"/>
    <n v="0"/>
    <s v="EMP-"/>
    <n v="25"/>
    <s v="Active"/>
  </r>
  <r>
    <s v="EMP-501"/>
    <x v="4"/>
    <s v="Accounting"/>
    <s v="Manufacturing"/>
    <s v="Female"/>
    <n v="56"/>
    <s v="55-65"/>
    <d v="2018-03-10T00:00:00"/>
    <n v="90040"/>
    <n v="0"/>
    <n v="90040"/>
    <s v="United States"/>
    <s v="Chicago"/>
    <m/>
    <n v="501"/>
    <n v="0"/>
    <s v="EMP-"/>
    <n v="8"/>
    <s v="Active"/>
  </r>
  <r>
    <s v="EMP-502"/>
    <x v="25"/>
    <s v="Engineering"/>
    <s v="Manufacturing"/>
    <s v="Female"/>
    <n v="30"/>
    <s v="25-35"/>
    <d v="2016-05-26T00:00:00"/>
    <n v="91134"/>
    <n v="0"/>
    <n v="91134"/>
    <s v="Brazil"/>
    <s v="Sao Paulo"/>
    <m/>
    <n v="502"/>
    <n v="0"/>
    <s v="EMP-"/>
    <n v="9"/>
    <s v="Active"/>
  </r>
  <r>
    <s v="EMP-503"/>
    <x v="9"/>
    <s v="Human Resources"/>
    <s v="Speciality Products"/>
    <s v="Female"/>
    <n v="45"/>
    <s v="45-55"/>
    <d v="2021-09-22T00:00:00"/>
    <n v="201396"/>
    <n v="0.32"/>
    <n v="265842.71999999997"/>
    <s v="United States"/>
    <s v="Miami"/>
    <m/>
    <n v="503"/>
    <n v="0"/>
    <s v="EMP-"/>
    <n v="4"/>
    <s v="Active"/>
  </r>
  <r>
    <s v="EMP-504"/>
    <x v="7"/>
    <s v="Accounting"/>
    <s v="Corporate"/>
    <s v="Female"/>
    <n v="55"/>
    <s v="55-65"/>
    <d v="2011-12-22T00:00:00"/>
    <n v="54733"/>
    <n v="0"/>
    <n v="54733"/>
    <s v="China"/>
    <s v="Chongqing"/>
    <m/>
    <n v="504"/>
    <n v="0"/>
    <s v="EMP-"/>
    <n v="14"/>
    <s v="Active"/>
  </r>
  <r>
    <s v="EMP-505"/>
    <x v="27"/>
    <s v="IT"/>
    <s v="Corporate"/>
    <s v="Male"/>
    <n v="28"/>
    <s v="25-35"/>
    <d v="2019-06-17T00:00:00"/>
    <n v="65341"/>
    <n v="0"/>
    <n v="65341"/>
    <s v="United States"/>
    <s v="Miami"/>
    <d v="2022-04-11T00:00:00"/>
    <n v="505"/>
    <n v="1"/>
    <s v="EMP-"/>
    <n v="2"/>
    <s v="Inactive"/>
  </r>
  <r>
    <s v="EMP-506"/>
    <x v="0"/>
    <s v="Finance"/>
    <s v="Corporate"/>
    <s v="Female"/>
    <n v="59"/>
    <s v="55-65"/>
    <d v="2018-10-27T00:00:00"/>
    <n v="139208"/>
    <n v="0.11"/>
    <n v="154520.88"/>
    <s v="United States"/>
    <s v="Austin"/>
    <m/>
    <n v="506"/>
    <n v="0"/>
    <s v="EMP-"/>
    <n v="7"/>
    <s v="Active"/>
  </r>
  <r>
    <s v="EMP-507"/>
    <x v="4"/>
    <s v="Sales"/>
    <s v="Speciality Products"/>
    <s v="Male"/>
    <n v="63"/>
    <s v="55-65"/>
    <d v="2018-03-12T00:00:00"/>
    <n v="73200"/>
    <n v="0"/>
    <n v="73200"/>
    <s v="China"/>
    <s v="Shanghai"/>
    <m/>
    <n v="507"/>
    <n v="0"/>
    <s v="EMP-"/>
    <n v="8"/>
    <s v="Active"/>
  </r>
  <r>
    <s v="EMP-508"/>
    <x v="6"/>
    <s v="Accounting"/>
    <s v="Speciality Products"/>
    <s v="Female"/>
    <n v="46"/>
    <s v="45-55"/>
    <d v="2010-04-24T00:00:00"/>
    <n v="102636"/>
    <n v="0.06"/>
    <n v="108794.16"/>
    <s v="United States"/>
    <s v="Seattle"/>
    <m/>
    <n v="508"/>
    <n v="0"/>
    <s v="EMP-"/>
    <n v="15"/>
    <s v="Active"/>
  </r>
  <r>
    <s v="EMP-509"/>
    <x v="26"/>
    <s v="Sales"/>
    <s v="Speciality Products"/>
    <s v="Female"/>
    <n v="26"/>
    <s v="25-35"/>
    <d v="2021-02-09T00:00:00"/>
    <n v="87427"/>
    <n v="0"/>
    <n v="87427"/>
    <s v="Brazil"/>
    <s v="Sao Paulo"/>
    <m/>
    <n v="509"/>
    <n v="0"/>
    <s v="EMP-"/>
    <n v="5"/>
    <s v="Active"/>
  </r>
  <r>
    <s v="EMP-510"/>
    <x v="12"/>
    <s v="IT"/>
    <s v="Research &amp; Development"/>
    <s v="Male"/>
    <n v="45"/>
    <s v="45-55"/>
    <d v="2018-05-28T00:00:00"/>
    <n v="49219"/>
    <n v="0"/>
    <n v="49219"/>
    <s v="United States"/>
    <s v="Columbus"/>
    <m/>
    <n v="510"/>
    <n v="0"/>
    <s v="EMP-"/>
    <n v="7"/>
    <s v="Active"/>
  </r>
  <r>
    <s v="EMP-511"/>
    <x v="6"/>
    <s v="Finance"/>
    <s v="Manufacturing"/>
    <s v="Male"/>
    <n v="50"/>
    <s v="45-55"/>
    <d v="2018-05-19T00:00:00"/>
    <n v="106437"/>
    <n v="7.0000000000000007E-2"/>
    <n v="113887.59"/>
    <s v="China"/>
    <s v="Chongqing"/>
    <m/>
    <n v="511"/>
    <n v="0"/>
    <s v="EMP-"/>
    <n v="7"/>
    <s v="Active"/>
  </r>
  <r>
    <s v="EMP-512"/>
    <x v="13"/>
    <s v="Finance"/>
    <s v="Manufacturing"/>
    <s v="Male"/>
    <n v="46"/>
    <s v="45-55"/>
    <d v="2015-05-05T00:00:00"/>
    <n v="64364"/>
    <n v="0"/>
    <n v="64364"/>
    <s v="Brazil"/>
    <s v="Sao Paulo"/>
    <m/>
    <n v="512"/>
    <n v="0"/>
    <s v="EMP-"/>
    <n v="10"/>
    <s v="Active"/>
  </r>
  <r>
    <s v="EMP-513"/>
    <x v="2"/>
    <s v="Human Resources"/>
    <s v="Manufacturing"/>
    <s v="Male"/>
    <n v="50"/>
    <s v="45-55"/>
    <d v="2021-10-17T00:00:00"/>
    <n v="172180"/>
    <n v="0.3"/>
    <n v="223834"/>
    <s v="United States"/>
    <s v="Columbus"/>
    <m/>
    <n v="513"/>
    <n v="0"/>
    <s v="EMP-"/>
    <n v="4"/>
    <s v="Active"/>
  </r>
  <r>
    <s v="EMP-514"/>
    <x v="4"/>
    <s v="Sales"/>
    <s v="Manufacturing"/>
    <s v="Female"/>
    <n v="33"/>
    <s v="25-35"/>
    <d v="2012-05-14T00:00:00"/>
    <n v="88343"/>
    <n v="0"/>
    <n v="88343"/>
    <s v="Brazil"/>
    <s v="Rio de Janerio"/>
    <m/>
    <n v="514"/>
    <n v="0"/>
    <s v="EMP-"/>
    <n v="13"/>
    <s v="Active"/>
  </r>
  <r>
    <s v="EMP-515"/>
    <x v="29"/>
    <s v="IT"/>
    <s v="Speciality Products"/>
    <s v="Male"/>
    <n v="57"/>
    <s v="55-65"/>
    <d v="2014-07-10T00:00:00"/>
    <n v="66649"/>
    <n v="0"/>
    <n v="66649"/>
    <s v="Brazil"/>
    <s v="Rio de Janerio"/>
    <m/>
    <n v="515"/>
    <n v="0"/>
    <s v="EMP-"/>
    <n v="11"/>
    <s v="Active"/>
  </r>
  <r>
    <s v="EMP-516"/>
    <x v="6"/>
    <s v="Finance"/>
    <s v="Corporate"/>
    <s v="Female"/>
    <n v="48"/>
    <s v="45-55"/>
    <d v="1999-04-22T00:00:00"/>
    <n v="102847"/>
    <n v="0.05"/>
    <n v="107989.35"/>
    <s v="United States"/>
    <s v="Chicago"/>
    <m/>
    <n v="516"/>
    <n v="0"/>
    <s v="EMP-"/>
    <n v="26"/>
    <s v="Active"/>
  </r>
  <r>
    <s v="EMP-517"/>
    <x v="0"/>
    <s v="Finance"/>
    <s v="Manufacturing"/>
    <s v="Male"/>
    <n v="46"/>
    <s v="45-55"/>
    <d v="2010-07-19T00:00:00"/>
    <n v="134881"/>
    <n v="0.15"/>
    <n v="155113.15"/>
    <s v="Brazil"/>
    <s v="Manaus"/>
    <m/>
    <n v="517"/>
    <n v="0"/>
    <s v="EMP-"/>
    <n v="15"/>
    <s v="Active"/>
  </r>
  <r>
    <s v="EMP-518"/>
    <x v="13"/>
    <s v="Marketing"/>
    <s v="Manufacturing"/>
    <s v="Male"/>
    <n v="52"/>
    <s v="45-55"/>
    <d v="1999-05-23T00:00:00"/>
    <n v="68807"/>
    <n v="0"/>
    <n v="68807"/>
    <s v="China"/>
    <s v="Chengdu"/>
    <d v="2015-11-30T00:00:00"/>
    <n v="518"/>
    <n v="1"/>
    <s v="EMP-"/>
    <n v="16"/>
    <s v="Inactive"/>
  </r>
  <r>
    <s v="EMP-519"/>
    <x v="9"/>
    <s v="IT"/>
    <s v="Manufacturing"/>
    <s v="Male"/>
    <n v="56"/>
    <s v="55-65"/>
    <d v="2006-05-29T00:00:00"/>
    <n v="228822"/>
    <n v="0.36"/>
    <n v="311197.92"/>
    <s v="United States"/>
    <s v="Miami"/>
    <m/>
    <n v="519"/>
    <n v="0"/>
    <s v="EMP-"/>
    <n v="19"/>
    <s v="Active"/>
  </r>
  <r>
    <s v="EMP-520"/>
    <x v="7"/>
    <s v="Marketing"/>
    <s v="Manufacturing"/>
    <s v="Male"/>
    <n v="28"/>
    <s v="25-35"/>
    <d v="2021-07-18T00:00:00"/>
    <n v="43391"/>
    <n v="0"/>
    <n v="43391"/>
    <s v="United States"/>
    <s v="Columbus"/>
    <m/>
    <n v="520"/>
    <n v="0"/>
    <s v="EMP-"/>
    <n v="4"/>
    <s v="Active"/>
  </r>
  <r>
    <s v="EMP-521"/>
    <x v="10"/>
    <s v="Engineering"/>
    <s v="Speciality Products"/>
    <s v="Male"/>
    <n v="29"/>
    <s v="25-35"/>
    <d v="2021-11-15T00:00:00"/>
    <n v="91782"/>
    <n v="0"/>
    <n v="91782"/>
    <s v="China"/>
    <s v="Chongqing"/>
    <m/>
    <n v="521"/>
    <n v="0"/>
    <s v="EMP-"/>
    <n v="4"/>
    <s v="Active"/>
  </r>
  <r>
    <s v="EMP-522"/>
    <x v="9"/>
    <s v="Marketing"/>
    <s v="Corporate"/>
    <s v="Female"/>
    <n v="45"/>
    <s v="45-55"/>
    <d v="2016-02-28T00:00:00"/>
    <n v="211637"/>
    <n v="0.31"/>
    <n v="277244.46999999997"/>
    <s v="United States"/>
    <s v="Chicago"/>
    <m/>
    <n v="522"/>
    <n v="0"/>
    <s v="EMP-"/>
    <n v="10"/>
    <s v="Active"/>
  </r>
  <r>
    <s v="EMP-523"/>
    <x v="3"/>
    <s v="IT"/>
    <s v="Manufacturing"/>
    <s v="Male"/>
    <n v="28"/>
    <s v="25-35"/>
    <d v="2020-08-08T00:00:00"/>
    <n v="73255"/>
    <n v="0.09"/>
    <n v="79847.95"/>
    <s v="United States"/>
    <s v="Phoenix"/>
    <m/>
    <n v="523"/>
    <n v="0"/>
    <s v="EMP-"/>
    <n v="5"/>
    <s v="Active"/>
  </r>
  <r>
    <s v="EMP-524"/>
    <x v="6"/>
    <s v="Sales"/>
    <s v="Corporate"/>
    <s v="Male"/>
    <n v="28"/>
    <s v="25-35"/>
    <d v="2021-01-08T00:00:00"/>
    <n v="108826"/>
    <n v="0.1"/>
    <n v="119708.6"/>
    <s v="United States"/>
    <s v="Miami"/>
    <m/>
    <n v="524"/>
    <n v="0"/>
    <s v="EMP-"/>
    <n v="5"/>
    <s v="Active"/>
  </r>
  <r>
    <s v="EMP-525"/>
    <x v="29"/>
    <s v="IT"/>
    <s v="Speciality Products"/>
    <s v="Male"/>
    <n v="34"/>
    <s v="25-35"/>
    <d v="2016-05-24T00:00:00"/>
    <n v="94352"/>
    <n v="0"/>
    <n v="94352"/>
    <s v="United States"/>
    <s v="Miami"/>
    <m/>
    <n v="525"/>
    <n v="0"/>
    <s v="EMP-"/>
    <n v="9"/>
    <s v="Active"/>
  </r>
  <r>
    <s v="EMP-526"/>
    <x v="30"/>
    <s v="IT"/>
    <s v="Research &amp; Development"/>
    <s v="Female"/>
    <n v="55"/>
    <s v="55-65"/>
    <d v="1994-08-30T00:00:00"/>
    <n v="73955"/>
    <n v="0"/>
    <n v="73955"/>
    <s v="United States"/>
    <s v="Phoenix"/>
    <m/>
    <n v="526"/>
    <n v="0"/>
    <s v="EMP-"/>
    <n v="31"/>
    <s v="Active"/>
  </r>
  <r>
    <s v="EMP-527"/>
    <x v="6"/>
    <s v="Human Resources"/>
    <s v="Manufacturing"/>
    <s v="Male"/>
    <n v="34"/>
    <s v="25-35"/>
    <d v="2013-08-13T00:00:00"/>
    <n v="113909"/>
    <n v="0.06"/>
    <n v="120743.54"/>
    <s v="Brazil"/>
    <s v="Rio de Janerio"/>
    <m/>
    <n v="527"/>
    <n v="0"/>
    <s v="EMP-"/>
    <n v="12"/>
    <s v="Active"/>
  </r>
  <r>
    <s v="EMP-528"/>
    <x v="32"/>
    <s v="IT"/>
    <s v="Manufacturing"/>
    <s v="Male"/>
    <n v="27"/>
    <s v="25-35"/>
    <d v="2020-12-24T00:00:00"/>
    <n v="92321"/>
    <n v="0"/>
    <n v="92321"/>
    <s v="United States"/>
    <s v="Chicago"/>
    <m/>
    <n v="528"/>
    <n v="0"/>
    <s v="EMP-"/>
    <n v="5"/>
    <s v="Active"/>
  </r>
  <r>
    <s v="EMP-529"/>
    <x v="3"/>
    <s v="IT"/>
    <s v="Research &amp; Development"/>
    <s v="Male"/>
    <n v="52"/>
    <s v="45-55"/>
    <d v="2013-05-23T00:00:00"/>
    <n v="99557"/>
    <n v="0.09"/>
    <n v="108517.13"/>
    <s v="United States"/>
    <s v="Seattle"/>
    <m/>
    <n v="529"/>
    <n v="0"/>
    <s v="EMP-"/>
    <n v="12"/>
    <s v="Active"/>
  </r>
  <r>
    <s v="EMP-530"/>
    <x v="18"/>
    <s v="Engineering"/>
    <s v="Speciality Products"/>
    <s v="Female"/>
    <n v="28"/>
    <s v="25-35"/>
    <d v="2018-11-14T00:00:00"/>
    <n v="115854"/>
    <n v="0"/>
    <n v="115854"/>
    <s v="United States"/>
    <s v="Phoenix"/>
    <m/>
    <n v="530"/>
    <n v="0"/>
    <s v="EMP-"/>
    <n v="7"/>
    <s v="Active"/>
  </r>
  <r>
    <s v="EMP-531"/>
    <x v="30"/>
    <s v="IT"/>
    <s v="Manufacturing"/>
    <s v="Female"/>
    <n v="44"/>
    <s v="35-45"/>
    <d v="2011-03-01T00:00:00"/>
    <n v="82462"/>
    <n v="0"/>
    <n v="82462"/>
    <s v="United States"/>
    <s v="Austin"/>
    <m/>
    <n v="531"/>
    <n v="0"/>
    <s v="EMP-"/>
    <n v="15"/>
    <s v="Active"/>
  </r>
  <r>
    <s v="EMP-532"/>
    <x v="9"/>
    <s v="IT"/>
    <s v="Research &amp; Development"/>
    <s v="Female"/>
    <n v="53"/>
    <s v="45-55"/>
    <d v="2011-11-09T00:00:00"/>
    <n v="198473"/>
    <n v="0.32"/>
    <n v="261984.36"/>
    <s v="United States"/>
    <s v="Miami"/>
    <m/>
    <n v="532"/>
    <n v="0"/>
    <s v="EMP-"/>
    <n v="14"/>
    <s v="Active"/>
  </r>
  <r>
    <s v="EMP-533"/>
    <x v="0"/>
    <s v="Finance"/>
    <s v="Corporate"/>
    <s v="Female"/>
    <n v="43"/>
    <s v="35-45"/>
    <d v="2006-10-15T00:00:00"/>
    <n v="153492"/>
    <n v="0.11"/>
    <n v="170376.12"/>
    <s v="United States"/>
    <s v="Chicago"/>
    <m/>
    <n v="533"/>
    <n v="0"/>
    <s v="EMP-"/>
    <n v="19"/>
    <s v="Active"/>
  </r>
  <r>
    <s v="EMP-534"/>
    <x v="9"/>
    <s v="Human Resources"/>
    <s v="Corporate"/>
    <s v="Female"/>
    <n v="28"/>
    <s v="25-35"/>
    <d v="2018-01-21T00:00:00"/>
    <n v="208210"/>
    <n v="0.3"/>
    <n v="270673"/>
    <s v="United States"/>
    <s v="Seattle"/>
    <m/>
    <n v="534"/>
    <n v="0"/>
    <s v="EMP-"/>
    <n v="8"/>
    <s v="Active"/>
  </r>
  <r>
    <s v="EMP-535"/>
    <x v="4"/>
    <s v="Marketing"/>
    <s v="Corporate"/>
    <s v="Male"/>
    <n v="33"/>
    <s v="25-35"/>
    <d v="2015-11-17T00:00:00"/>
    <n v="91632"/>
    <n v="0"/>
    <n v="91632"/>
    <s v="United States"/>
    <s v="Phoenix"/>
    <m/>
    <n v="535"/>
    <n v="0"/>
    <s v="EMP-"/>
    <n v="10"/>
    <s v="Active"/>
  </r>
  <r>
    <s v="EMP-536"/>
    <x v="16"/>
    <s v="Human Resources"/>
    <s v="Corporate"/>
    <s v="Male"/>
    <n v="31"/>
    <s v="25-35"/>
    <d v="2017-09-24T00:00:00"/>
    <n v="71755"/>
    <n v="0"/>
    <n v="71755"/>
    <s v="China"/>
    <s v="Chongqing"/>
    <m/>
    <n v="536"/>
    <n v="0"/>
    <s v="EMP-"/>
    <n v="8"/>
    <s v="Active"/>
  </r>
  <r>
    <s v="EMP-537"/>
    <x v="6"/>
    <s v="Accounting"/>
    <s v="Corporate"/>
    <s v="Female"/>
    <n v="52"/>
    <s v="45-55"/>
    <d v="2021-11-19T00:00:00"/>
    <n v="111006"/>
    <n v="0.08"/>
    <n v="119886.48"/>
    <s v="China"/>
    <s v="Chongqing"/>
    <m/>
    <n v="537"/>
    <n v="0"/>
    <s v="EMP-"/>
    <n v="4"/>
    <s v="Active"/>
  </r>
  <r>
    <s v="EMP-538"/>
    <x v="21"/>
    <s v="IT"/>
    <s v="Corporate"/>
    <s v="Male"/>
    <n v="55"/>
    <s v="55-65"/>
    <d v="1994-12-24T00:00:00"/>
    <n v="99774"/>
    <n v="0"/>
    <n v="99774"/>
    <s v="United States"/>
    <s v="Austin"/>
    <m/>
    <n v="538"/>
    <n v="0"/>
    <s v="EMP-"/>
    <n v="31"/>
    <s v="Active"/>
  </r>
  <r>
    <s v="EMP-539"/>
    <x v="2"/>
    <s v="IT"/>
    <s v="Research &amp; Development"/>
    <s v="Male"/>
    <n v="55"/>
    <s v="55-65"/>
    <d v="2007-03-13T00:00:00"/>
    <n v="184648"/>
    <n v="0.24"/>
    <n v="228963.52"/>
    <s v="China"/>
    <s v="Shanghai"/>
    <m/>
    <n v="539"/>
    <n v="0"/>
    <s v="EMP-"/>
    <n v="19"/>
    <s v="Active"/>
  </r>
  <r>
    <s v="EMP-540"/>
    <x v="9"/>
    <s v="IT"/>
    <s v="Manufacturing"/>
    <s v="Male"/>
    <n v="51"/>
    <s v="45-55"/>
    <d v="2001-07-19T00:00:00"/>
    <n v="247874"/>
    <n v="0.33"/>
    <n v="329672.42"/>
    <s v="Brazil"/>
    <s v="Manaus"/>
    <m/>
    <n v="540"/>
    <n v="0"/>
    <s v="EMP-"/>
    <n v="24"/>
    <s v="Active"/>
  </r>
  <r>
    <s v="EMP-541"/>
    <x v="25"/>
    <s v="Engineering"/>
    <s v="Manufacturing"/>
    <s v="Male"/>
    <n v="60"/>
    <s v="55-65"/>
    <d v="2009-05-11T00:00:00"/>
    <n v="62239"/>
    <n v="0"/>
    <n v="62239"/>
    <s v="China"/>
    <s v="Beijing"/>
    <m/>
    <n v="541"/>
    <n v="0"/>
    <s v="EMP-"/>
    <n v="16"/>
    <s v="Active"/>
  </r>
  <r>
    <s v="EMP-542"/>
    <x v="6"/>
    <s v="Accounting"/>
    <s v="Speciality Products"/>
    <s v="Female"/>
    <n v="31"/>
    <s v="25-35"/>
    <d v="2014-10-07T00:00:00"/>
    <n v="114911"/>
    <n v="7.0000000000000007E-2"/>
    <n v="122954.77"/>
    <s v="United States"/>
    <s v="Chicago"/>
    <m/>
    <n v="542"/>
    <n v="0"/>
    <s v="EMP-"/>
    <n v="11"/>
    <s v="Active"/>
  </r>
  <r>
    <s v="EMP-543"/>
    <x v="11"/>
    <s v="Engineering"/>
    <s v="Corporate"/>
    <s v="Male"/>
    <n v="45"/>
    <s v="45-55"/>
    <d v="2018-04-27T00:00:00"/>
    <n v="115490"/>
    <n v="0.12"/>
    <n v="129348.8"/>
    <s v="United States"/>
    <s v="Chicago"/>
    <m/>
    <n v="543"/>
    <n v="0"/>
    <s v="EMP-"/>
    <n v="7"/>
    <s v="Active"/>
  </r>
  <r>
    <s v="EMP-544"/>
    <x v="6"/>
    <s v="Accounting"/>
    <s v="Speciality Products"/>
    <s v="Male"/>
    <n v="34"/>
    <s v="25-35"/>
    <d v="2012-02-13T00:00:00"/>
    <n v="118708"/>
    <n v="7.0000000000000007E-2"/>
    <n v="127017.56"/>
    <s v="China"/>
    <s v="Shanghai"/>
    <m/>
    <n v="544"/>
    <n v="0"/>
    <s v="EMP-"/>
    <n v="14"/>
    <s v="Active"/>
  </r>
  <r>
    <s v="EMP-545"/>
    <x v="2"/>
    <s v="Accounting"/>
    <s v="Speciality Products"/>
    <s v="Female"/>
    <n v="29"/>
    <s v="25-35"/>
    <d v="2017-06-28T00:00:00"/>
    <n v="197649"/>
    <n v="0.2"/>
    <n v="237178.8"/>
    <s v="United States"/>
    <s v="Columbus"/>
    <m/>
    <n v="545"/>
    <n v="0"/>
    <s v="EMP-"/>
    <n v="8"/>
    <s v="Active"/>
  </r>
  <r>
    <s v="EMP-546"/>
    <x v="4"/>
    <s v="Accounting"/>
    <s v="Speciality Products"/>
    <s v="Female"/>
    <n v="45"/>
    <s v="45-55"/>
    <d v="2020-06-17T00:00:00"/>
    <n v="89841"/>
    <n v="0"/>
    <n v="89841"/>
    <s v="China"/>
    <s v="Beijing"/>
    <m/>
    <n v="546"/>
    <n v="0"/>
    <s v="EMP-"/>
    <n v="5"/>
    <s v="Active"/>
  </r>
  <r>
    <s v="EMP-547"/>
    <x v="13"/>
    <s v="Finance"/>
    <s v="Speciality Products"/>
    <s v="Female"/>
    <n v="52"/>
    <s v="45-55"/>
    <d v="2019-12-20T00:00:00"/>
    <n v="61026"/>
    <n v="0"/>
    <n v="61026"/>
    <s v="United States"/>
    <s v="Phoenix"/>
    <m/>
    <n v="547"/>
    <n v="0"/>
    <s v="EMP-"/>
    <n v="6"/>
    <s v="Active"/>
  </r>
  <r>
    <s v="EMP-548"/>
    <x v="8"/>
    <s v="Engineering"/>
    <s v="Speciality Products"/>
    <s v="Female"/>
    <n v="48"/>
    <s v="45-55"/>
    <d v="2014-09-25T00:00:00"/>
    <n v="96693"/>
    <n v="0"/>
    <n v="96693"/>
    <s v="United States"/>
    <s v="Chicago"/>
    <m/>
    <n v="548"/>
    <n v="0"/>
    <s v="EMP-"/>
    <n v="11"/>
    <s v="Active"/>
  </r>
  <r>
    <s v="EMP-549"/>
    <x v="22"/>
    <s v="Engineering"/>
    <s v="Speciality Products"/>
    <s v="Female"/>
    <n v="48"/>
    <s v="45-55"/>
    <d v="2009-06-27T00:00:00"/>
    <n v="82907"/>
    <n v="0"/>
    <n v="82907"/>
    <s v="United States"/>
    <s v="Seattle"/>
    <m/>
    <n v="549"/>
    <n v="0"/>
    <s v="EMP-"/>
    <n v="16"/>
    <s v="Active"/>
  </r>
  <r>
    <s v="EMP-550"/>
    <x v="9"/>
    <s v="Marketing"/>
    <s v="Corporate"/>
    <s v="Male"/>
    <n v="41"/>
    <s v="35-45"/>
    <d v="2014-10-04T00:00:00"/>
    <n v="257194"/>
    <n v="0.35"/>
    <n v="347211.9"/>
    <s v="China"/>
    <s v="Chongqing"/>
    <m/>
    <n v="550"/>
    <n v="0"/>
    <s v="EMP-"/>
    <n v="11"/>
    <s v="Active"/>
  </r>
  <r>
    <s v="EMP-551"/>
    <x v="10"/>
    <s v="Engineering"/>
    <s v="Research &amp; Development"/>
    <s v="Male"/>
    <n v="41"/>
    <s v="35-45"/>
    <d v="2012-01-21T00:00:00"/>
    <n v="94658"/>
    <n v="0"/>
    <n v="94658"/>
    <s v="United States"/>
    <s v="Miami"/>
    <m/>
    <n v="551"/>
    <n v="0"/>
    <s v="EMP-"/>
    <n v="14"/>
    <s v="Active"/>
  </r>
  <r>
    <s v="EMP-552"/>
    <x v="10"/>
    <s v="Engineering"/>
    <s v="Research &amp; Development"/>
    <s v="Male"/>
    <n v="55"/>
    <s v="55-65"/>
    <d v="2011-04-30T00:00:00"/>
    <n v="89419"/>
    <n v="0"/>
    <n v="89419"/>
    <s v="China"/>
    <s v="Shanghai"/>
    <m/>
    <n v="552"/>
    <n v="0"/>
    <s v="EMP-"/>
    <n v="14"/>
    <s v="Active"/>
  </r>
  <r>
    <s v="EMP-553"/>
    <x v="16"/>
    <s v="Human Resources"/>
    <s v="Manufacturing"/>
    <s v="Male"/>
    <n v="45"/>
    <s v="45-55"/>
    <d v="2015-12-19T00:00:00"/>
    <n v="51983"/>
    <n v="0"/>
    <n v="51983"/>
    <s v="United States"/>
    <s v="Columbus"/>
    <m/>
    <n v="553"/>
    <n v="0"/>
    <s v="EMP-"/>
    <n v="10"/>
    <s v="Active"/>
  </r>
  <r>
    <s v="EMP-554"/>
    <x v="2"/>
    <s v="Finance"/>
    <s v="Corporate"/>
    <s v="Female"/>
    <n v="53"/>
    <s v="45-55"/>
    <d v="2002-02-17T00:00:00"/>
    <n v="179494"/>
    <n v="0.2"/>
    <n v="215392.8"/>
    <s v="China"/>
    <s v="Chongqing"/>
    <m/>
    <n v="554"/>
    <n v="0"/>
    <s v="EMP-"/>
    <n v="24"/>
    <s v="Active"/>
  </r>
  <r>
    <s v="EMP-555"/>
    <x v="30"/>
    <s v="IT"/>
    <s v="Corporate"/>
    <s v="Male"/>
    <n v="49"/>
    <s v="45-55"/>
    <d v="2016-06-24T00:00:00"/>
    <n v="68426"/>
    <n v="0"/>
    <n v="68426"/>
    <s v="Brazil"/>
    <s v="Rio de Janerio"/>
    <m/>
    <n v="555"/>
    <n v="0"/>
    <s v="EMP-"/>
    <n v="9"/>
    <s v="Active"/>
  </r>
  <r>
    <s v="EMP-556"/>
    <x v="0"/>
    <s v="Finance"/>
    <s v="Corporate"/>
    <s v="Female"/>
    <n v="55"/>
    <s v="55-65"/>
    <d v="2017-02-06T00:00:00"/>
    <n v="144986"/>
    <n v="0.12"/>
    <n v="162384.32000000001"/>
    <s v="United States"/>
    <s v="Phoenix"/>
    <m/>
    <n v="556"/>
    <n v="0"/>
    <s v="EMP-"/>
    <n v="9"/>
    <s v="Active"/>
  </r>
  <r>
    <s v="EMP-557"/>
    <x v="5"/>
    <s v="Sales"/>
    <s v="Speciality Products"/>
    <s v="Female"/>
    <n v="45"/>
    <s v="45-55"/>
    <d v="2000-08-16T00:00:00"/>
    <n v="60113"/>
    <n v="0"/>
    <n v="60113"/>
    <s v="United States"/>
    <s v="Chicago"/>
    <m/>
    <n v="557"/>
    <n v="0"/>
    <s v="EMP-"/>
    <n v="25"/>
    <s v="Active"/>
  </r>
  <r>
    <s v="EMP-558"/>
    <x v="16"/>
    <s v="Human Resources"/>
    <s v="Research &amp; Development"/>
    <s v="Female"/>
    <n v="52"/>
    <s v="45-55"/>
    <d v="2021-04-18T00:00:00"/>
    <n v="50548"/>
    <n v="0"/>
    <n v="50548"/>
    <s v="Brazil"/>
    <s v="Sao Paulo"/>
    <m/>
    <n v="558"/>
    <n v="0"/>
    <s v="EMP-"/>
    <n v="4"/>
    <s v="Active"/>
  </r>
  <r>
    <s v="EMP-559"/>
    <x v="13"/>
    <s v="Marketing"/>
    <s v="Manufacturing"/>
    <s v="Female"/>
    <n v="33"/>
    <s v="25-35"/>
    <d v="2020-03-14T00:00:00"/>
    <n v="68846"/>
    <n v="0"/>
    <n v="68846"/>
    <s v="United States"/>
    <s v="Chicago"/>
    <m/>
    <n v="559"/>
    <n v="0"/>
    <s v="EMP-"/>
    <n v="6"/>
    <s v="Active"/>
  </r>
  <r>
    <s v="EMP-560"/>
    <x v="29"/>
    <s v="IT"/>
    <s v="Corporate"/>
    <s v="Female"/>
    <n v="59"/>
    <s v="55-65"/>
    <d v="2014-03-19T00:00:00"/>
    <n v="90901"/>
    <n v="0"/>
    <n v="90901"/>
    <s v="United States"/>
    <s v="Seattle"/>
    <m/>
    <n v="560"/>
    <n v="0"/>
    <s v="EMP-"/>
    <n v="11"/>
    <s v="Active"/>
  </r>
  <r>
    <s v="EMP-561"/>
    <x v="6"/>
    <s v="Accounting"/>
    <s v="Corporate"/>
    <s v="Female"/>
    <n v="50"/>
    <s v="45-55"/>
    <d v="2012-09-03T00:00:00"/>
    <n v="102033"/>
    <n v="0.08"/>
    <n v="110195.64"/>
    <s v="United States"/>
    <s v="Austin"/>
    <m/>
    <n v="561"/>
    <n v="0"/>
    <s v="EMP-"/>
    <n v="13"/>
    <s v="Active"/>
  </r>
  <r>
    <s v="EMP-562"/>
    <x v="2"/>
    <s v="Sales"/>
    <s v="Manufacturing"/>
    <s v="Female"/>
    <n v="61"/>
    <s v="55-65"/>
    <d v="2021-01-23T00:00:00"/>
    <n v="151783"/>
    <n v="0.26"/>
    <n v="191246.58000000002"/>
    <s v="United States"/>
    <s v="Seattle"/>
    <m/>
    <n v="562"/>
    <n v="0"/>
    <s v="EMP-"/>
    <n v="5"/>
    <s v="Active"/>
  </r>
  <r>
    <s v="EMP-563"/>
    <x v="2"/>
    <s v="Engineering"/>
    <s v="Corporate"/>
    <s v="Female"/>
    <n v="27"/>
    <s v="25-35"/>
    <d v="2018-12-07T00:00:00"/>
    <n v="170164"/>
    <n v="0.17"/>
    <n v="199091.88"/>
    <s v="United States"/>
    <s v="Austin"/>
    <m/>
    <n v="563"/>
    <n v="0"/>
    <s v="EMP-"/>
    <n v="7"/>
    <s v="Active"/>
  </r>
  <r>
    <s v="EMP-564"/>
    <x v="0"/>
    <s v="Marketing"/>
    <s v="Speciality Products"/>
    <s v="Female"/>
    <n v="35"/>
    <s v="35-45"/>
    <d v="2014-02-20T00:00:00"/>
    <n v="155905"/>
    <n v="0.14000000000000001"/>
    <n v="177731.7"/>
    <s v="United States"/>
    <s v="Phoenix"/>
    <m/>
    <n v="564"/>
    <n v="0"/>
    <s v="EMP-"/>
    <n v="12"/>
    <s v="Active"/>
  </r>
  <r>
    <s v="EMP-565"/>
    <x v="7"/>
    <s v="Sales"/>
    <s v="Corporate"/>
    <s v="Male"/>
    <n v="40"/>
    <s v="35-45"/>
    <d v="2016-12-17T00:00:00"/>
    <n v="50733"/>
    <n v="0"/>
    <n v="50733"/>
    <s v="United States"/>
    <s v="Miami"/>
    <m/>
    <n v="565"/>
    <n v="0"/>
    <s v="EMP-"/>
    <n v="9"/>
    <s v="Active"/>
  </r>
  <r>
    <s v="EMP-566"/>
    <x v="15"/>
    <s v="Human Resources"/>
    <s v="Corporate"/>
    <s v="Female"/>
    <n v="30"/>
    <s v="25-35"/>
    <d v="2017-01-26T00:00:00"/>
    <n v="88663"/>
    <n v="0"/>
    <n v="88663"/>
    <s v="United States"/>
    <s v="Phoenix"/>
    <m/>
    <n v="566"/>
    <n v="0"/>
    <s v="EMP-"/>
    <n v="9"/>
    <s v="Active"/>
  </r>
  <r>
    <s v="EMP-567"/>
    <x v="17"/>
    <s v="Engineering"/>
    <s v="Manufacturing"/>
    <s v="Male"/>
    <n v="60"/>
    <s v="55-65"/>
    <d v="1992-10-13T00:00:00"/>
    <n v="88213"/>
    <n v="0"/>
    <n v="88213"/>
    <s v="China"/>
    <s v="Chongqing"/>
    <m/>
    <n v="567"/>
    <n v="0"/>
    <s v="EMP-"/>
    <n v="33"/>
    <s v="Active"/>
  </r>
  <r>
    <s v="EMP-568"/>
    <x v="13"/>
    <s v="Sales"/>
    <s v="Speciality Products"/>
    <s v="Male"/>
    <n v="55"/>
    <s v="55-65"/>
    <d v="2021-08-02T00:00:00"/>
    <n v="67130"/>
    <n v="0"/>
    <n v="67130"/>
    <s v="United States"/>
    <s v="Miami"/>
    <m/>
    <n v="568"/>
    <n v="0"/>
    <s v="EMP-"/>
    <n v="4"/>
    <s v="Active"/>
  </r>
  <r>
    <s v="EMP-569"/>
    <x v="4"/>
    <s v="Finance"/>
    <s v="Speciality Products"/>
    <s v="Female"/>
    <n v="33"/>
    <s v="25-35"/>
    <d v="2015-10-08T00:00:00"/>
    <n v="94876"/>
    <n v="0"/>
    <n v="94876"/>
    <s v="United States"/>
    <s v="Miami"/>
    <m/>
    <n v="569"/>
    <n v="0"/>
    <s v="EMP-"/>
    <n v="10"/>
    <s v="Active"/>
  </r>
  <r>
    <s v="EMP-570"/>
    <x v="25"/>
    <s v="Engineering"/>
    <s v="Speciality Products"/>
    <s v="Male"/>
    <n v="62"/>
    <s v="55-65"/>
    <d v="1994-10-09T00:00:00"/>
    <n v="98230"/>
    <n v="0"/>
    <n v="98230"/>
    <s v="United States"/>
    <s v="Miami"/>
    <m/>
    <n v="570"/>
    <n v="0"/>
    <s v="EMP-"/>
    <n v="31"/>
    <s v="Active"/>
  </r>
  <r>
    <s v="EMP-571"/>
    <x v="22"/>
    <s v="Engineering"/>
    <s v="Research &amp; Development"/>
    <s v="Female"/>
    <n v="36"/>
    <s v="35-45"/>
    <d v="2018-12-14T00:00:00"/>
    <n v="96757"/>
    <n v="0"/>
    <n v="96757"/>
    <s v="United States"/>
    <s v="Columbus"/>
    <m/>
    <n v="571"/>
    <n v="0"/>
    <s v="EMP-"/>
    <n v="7"/>
    <s v="Active"/>
  </r>
  <r>
    <s v="EMP-572"/>
    <x v="13"/>
    <s v="Marketing"/>
    <s v="Manufacturing"/>
    <s v="Male"/>
    <n v="35"/>
    <s v="35-45"/>
    <d v="2020-07-03T00:00:00"/>
    <n v="51513"/>
    <n v="0"/>
    <n v="51513"/>
    <s v="United States"/>
    <s v="Columbus"/>
    <m/>
    <n v="572"/>
    <n v="0"/>
    <s v="EMP-"/>
    <n v="5"/>
    <s v="Active"/>
  </r>
  <r>
    <s v="EMP-573"/>
    <x v="9"/>
    <s v="Marketing"/>
    <s v="Corporate"/>
    <s v="Male"/>
    <n v="60"/>
    <s v="55-65"/>
    <d v="2007-01-27T00:00:00"/>
    <n v="234311"/>
    <n v="0.37"/>
    <n v="321006.07"/>
    <s v="United States"/>
    <s v="Miami"/>
    <m/>
    <n v="573"/>
    <n v="0"/>
    <s v="EMP-"/>
    <n v="19"/>
    <s v="Active"/>
  </r>
  <r>
    <s v="EMP-574"/>
    <x v="0"/>
    <s v="Human Resources"/>
    <s v="Speciality Products"/>
    <s v="Female"/>
    <n v="45"/>
    <s v="45-55"/>
    <d v="2011-05-22T00:00:00"/>
    <n v="152353"/>
    <n v="0.14000000000000001"/>
    <n v="173682.42"/>
    <s v="United States"/>
    <s v="Seattle"/>
    <m/>
    <n v="574"/>
    <n v="0"/>
    <s v="EMP-"/>
    <n v="14"/>
    <s v="Active"/>
  </r>
  <r>
    <s v="EMP-575"/>
    <x v="0"/>
    <s v="Accounting"/>
    <s v="Speciality Products"/>
    <s v="Female"/>
    <n v="48"/>
    <s v="45-55"/>
    <d v="2010-07-30T00:00:00"/>
    <n v="124774"/>
    <n v="0.12"/>
    <n v="139746.88"/>
    <s v="United States"/>
    <s v="Phoenix"/>
    <m/>
    <n v="575"/>
    <n v="0"/>
    <s v="EMP-"/>
    <n v="15"/>
    <s v="Active"/>
  </r>
  <r>
    <s v="EMP-576"/>
    <x v="2"/>
    <s v="Marketing"/>
    <s v="Corporate"/>
    <s v="Female"/>
    <n v="36"/>
    <s v="35-45"/>
    <d v="2010-09-13T00:00:00"/>
    <n v="157070"/>
    <n v="0.28000000000000003"/>
    <n v="201049.60000000001"/>
    <s v="China"/>
    <s v="Chongqing"/>
    <m/>
    <n v="576"/>
    <n v="0"/>
    <s v="EMP-"/>
    <n v="15"/>
    <s v="Active"/>
  </r>
  <r>
    <s v="EMP-577"/>
    <x v="0"/>
    <s v="Finance"/>
    <s v="Speciality Products"/>
    <s v="Male"/>
    <n v="44"/>
    <s v="35-45"/>
    <d v="2019-08-08T00:00:00"/>
    <n v="130133"/>
    <n v="0.15"/>
    <n v="149652.95000000001"/>
    <s v="United States"/>
    <s v="Austin"/>
    <d v="2022-05-18T00:00:00"/>
    <n v="577"/>
    <n v="1"/>
    <s v="EMP-"/>
    <n v="2"/>
    <s v="Inactive"/>
  </r>
  <r>
    <s v="EMP-578"/>
    <x v="6"/>
    <s v="Marketing"/>
    <s v="Manufacturing"/>
    <s v="Female"/>
    <n v="64"/>
    <s v="55-65"/>
    <d v="2019-09-21T00:00:00"/>
    <n v="108780"/>
    <n v="0.06"/>
    <n v="115306.8"/>
    <s v="China"/>
    <s v="Shanghai"/>
    <m/>
    <n v="578"/>
    <n v="0"/>
    <s v="EMP-"/>
    <n v="6"/>
    <s v="Active"/>
  </r>
  <r>
    <s v="EMP-579"/>
    <x v="2"/>
    <s v="Engineering"/>
    <s v="Speciality Products"/>
    <s v="Female"/>
    <n v="46"/>
    <s v="45-55"/>
    <d v="2020-10-21T00:00:00"/>
    <n v="151853"/>
    <n v="0.16"/>
    <n v="176149.48"/>
    <s v="China"/>
    <s v="Chengdu"/>
    <m/>
    <n v="579"/>
    <n v="0"/>
    <s v="EMP-"/>
    <n v="5"/>
    <s v="Active"/>
  </r>
  <r>
    <s v="EMP-580"/>
    <x v="5"/>
    <s v="Sales"/>
    <s v="Manufacturing"/>
    <s v="Female"/>
    <n v="62"/>
    <s v="55-65"/>
    <d v="2006-09-17T00:00:00"/>
    <n v="64669"/>
    <n v="0"/>
    <n v="64669"/>
    <s v="China"/>
    <s v="Chongqing"/>
    <m/>
    <n v="580"/>
    <n v="0"/>
    <s v="EMP-"/>
    <n v="19"/>
    <s v="Active"/>
  </r>
  <r>
    <s v="EMP-581"/>
    <x v="13"/>
    <s v="Marketing"/>
    <s v="Research &amp; Development"/>
    <s v="Male"/>
    <n v="61"/>
    <s v="55-65"/>
    <d v="2008-04-30T00:00:00"/>
    <n v="69352"/>
    <n v="0"/>
    <n v="69352"/>
    <s v="Brazil"/>
    <s v="Rio de Janerio"/>
    <m/>
    <n v="581"/>
    <n v="0"/>
    <s v="EMP-"/>
    <n v="17"/>
    <s v="Active"/>
  </r>
  <r>
    <s v="EMP-582"/>
    <x v="13"/>
    <s v="Marketing"/>
    <s v="Research &amp; Development"/>
    <s v="Male"/>
    <n v="65"/>
    <s v="65-100"/>
    <d v="2001-10-17T00:00:00"/>
    <n v="74631"/>
    <n v="0"/>
    <n v="74631"/>
    <s v="China"/>
    <s v="Chongqing"/>
    <m/>
    <n v="582"/>
    <n v="0"/>
    <s v="EMP-"/>
    <n v="24"/>
    <s v="Active"/>
  </r>
  <r>
    <s v="EMP-583"/>
    <x v="10"/>
    <s v="Engineering"/>
    <s v="Speciality Products"/>
    <s v="Male"/>
    <n v="54"/>
    <s v="45-55"/>
    <d v="2012-04-29T00:00:00"/>
    <n v="96441"/>
    <n v="0"/>
    <n v="96441"/>
    <s v="Brazil"/>
    <s v="Sao Paulo"/>
    <m/>
    <n v="583"/>
    <n v="0"/>
    <s v="EMP-"/>
    <n v="13"/>
    <s v="Active"/>
  </r>
  <r>
    <s v="EMP-584"/>
    <x v="11"/>
    <s v="Engineering"/>
    <s v="Speciality Products"/>
    <s v="Male"/>
    <n v="46"/>
    <s v="45-55"/>
    <d v="2011-10-20T00:00:00"/>
    <n v="114250"/>
    <n v="0.14000000000000001"/>
    <n v="130245"/>
    <s v="China"/>
    <s v="Chengdu"/>
    <m/>
    <n v="584"/>
    <n v="0"/>
    <s v="EMP-"/>
    <n v="14"/>
    <s v="Active"/>
  </r>
  <r>
    <s v="EMP-585"/>
    <x v="3"/>
    <s v="IT"/>
    <s v="Corporate"/>
    <s v="Male"/>
    <n v="36"/>
    <s v="35-45"/>
    <d v="2020-12-27T00:00:00"/>
    <n v="70165"/>
    <n v="7.0000000000000007E-2"/>
    <n v="75076.55"/>
    <s v="Brazil"/>
    <s v="Manaus"/>
    <m/>
    <n v="585"/>
    <n v="0"/>
    <s v="EMP-"/>
    <n v="5"/>
    <s v="Active"/>
  </r>
  <r>
    <s v="EMP-586"/>
    <x v="6"/>
    <s v="IT"/>
    <s v="Corporate"/>
    <s v="Male"/>
    <n v="60"/>
    <s v="55-65"/>
    <d v="2000-01-29T00:00:00"/>
    <n v="109059"/>
    <n v="7.0000000000000007E-2"/>
    <n v="116693.13"/>
    <s v="China"/>
    <s v="Chengdu"/>
    <m/>
    <n v="586"/>
    <n v="0"/>
    <s v="EMP-"/>
    <n v="26"/>
    <s v="Active"/>
  </r>
  <r>
    <s v="EMP-587"/>
    <x v="19"/>
    <s v="Engineering"/>
    <s v="Research &amp; Development"/>
    <s v="Female"/>
    <n v="30"/>
    <s v="25-35"/>
    <d v="2015-11-14T00:00:00"/>
    <n v="77442"/>
    <n v="0"/>
    <n v="77442"/>
    <s v="United States"/>
    <s v="Columbus"/>
    <m/>
    <n v="587"/>
    <n v="0"/>
    <s v="EMP-"/>
    <n v="10"/>
    <s v="Active"/>
  </r>
  <r>
    <s v="EMP-588"/>
    <x v="13"/>
    <s v="Sales"/>
    <s v="Corporate"/>
    <s v="Female"/>
    <n v="34"/>
    <s v="25-35"/>
    <d v="2012-06-06T00:00:00"/>
    <n v="72126"/>
    <n v="0"/>
    <n v="72126"/>
    <s v="Brazil"/>
    <s v="Manaus"/>
    <m/>
    <n v="588"/>
    <n v="0"/>
    <s v="EMP-"/>
    <n v="13"/>
    <s v="Active"/>
  </r>
  <r>
    <s v="EMP-589"/>
    <x v="31"/>
    <s v="IT"/>
    <s v="Manufacturing"/>
    <s v="Male"/>
    <n v="55"/>
    <s v="55-65"/>
    <d v="2013-10-18T00:00:00"/>
    <n v="70334"/>
    <n v="0"/>
    <n v="70334"/>
    <s v="United States"/>
    <s v="Miami"/>
    <m/>
    <n v="589"/>
    <n v="0"/>
    <s v="EMP-"/>
    <n v="12"/>
    <s v="Active"/>
  </r>
  <r>
    <s v="EMP-590"/>
    <x v="10"/>
    <s v="Engineering"/>
    <s v="Research &amp; Development"/>
    <s v="Male"/>
    <n v="59"/>
    <s v="55-65"/>
    <d v="2009-12-23T00:00:00"/>
    <n v="78006"/>
    <n v="0"/>
    <n v="78006"/>
    <s v="United States"/>
    <s v="Miami"/>
    <m/>
    <n v="590"/>
    <n v="0"/>
    <s v="EMP-"/>
    <n v="16"/>
    <s v="Active"/>
  </r>
  <r>
    <s v="EMP-591"/>
    <x v="2"/>
    <s v="IT"/>
    <s v="Manufacturing"/>
    <s v="Female"/>
    <n v="28"/>
    <s v="25-35"/>
    <d v="2021-01-25T00:00:00"/>
    <n v="160385"/>
    <n v="0.23"/>
    <n v="197273.55"/>
    <s v="United States"/>
    <s v="Miami"/>
    <d v="2021-05-18T00:00:00"/>
    <n v="591"/>
    <n v="1"/>
    <s v="EMP-"/>
    <n v="0"/>
    <s v="Inactive"/>
  </r>
  <r>
    <s v="EMP-592"/>
    <x v="9"/>
    <s v="Finance"/>
    <s v="Corporate"/>
    <s v="Female"/>
    <n v="36"/>
    <s v="35-45"/>
    <d v="2014-01-11T00:00:00"/>
    <n v="202323"/>
    <n v="0.39"/>
    <n v="281228.96999999997"/>
    <s v="United States"/>
    <s v="Chicago"/>
    <m/>
    <n v="592"/>
    <n v="0"/>
    <s v="EMP-"/>
    <n v="12"/>
    <s v="Active"/>
  </r>
  <r>
    <s v="EMP-593"/>
    <x v="0"/>
    <s v="Human Resources"/>
    <s v="Corporate"/>
    <s v="Female"/>
    <n v="29"/>
    <s v="25-35"/>
    <d v="2020-07-13T00:00:00"/>
    <n v="141555"/>
    <n v="0.11"/>
    <n v="157126.04999999999"/>
    <s v="Brazil"/>
    <s v="Manaus"/>
    <m/>
    <n v="593"/>
    <n v="0"/>
    <s v="EMP-"/>
    <n v="5"/>
    <s v="Active"/>
  </r>
  <r>
    <s v="EMP-594"/>
    <x v="2"/>
    <s v="Finance"/>
    <s v="Speciality Products"/>
    <s v="Female"/>
    <n v="34"/>
    <s v="25-35"/>
    <d v="2020-07-20T00:00:00"/>
    <n v="184960"/>
    <n v="0.18"/>
    <n v="218252.79999999999"/>
    <s v="United States"/>
    <s v="Seattle"/>
    <m/>
    <n v="594"/>
    <n v="0"/>
    <s v="EMP-"/>
    <n v="5"/>
    <s v="Active"/>
  </r>
  <r>
    <s v="EMP-595"/>
    <x v="9"/>
    <s v="IT"/>
    <s v="Manufacturing"/>
    <s v="Male"/>
    <n v="37"/>
    <s v="35-45"/>
    <d v="2011-06-25T00:00:00"/>
    <n v="221592"/>
    <n v="0.31"/>
    <n v="290285.52"/>
    <s v="United States"/>
    <s v="Columbus"/>
    <m/>
    <n v="595"/>
    <n v="0"/>
    <s v="EMP-"/>
    <n v="14"/>
    <s v="Active"/>
  </r>
  <r>
    <s v="EMP-596"/>
    <x v="16"/>
    <s v="Human Resources"/>
    <s v="Manufacturing"/>
    <s v="Female"/>
    <n v="44"/>
    <s v="35-45"/>
    <d v="2009-01-28T00:00:00"/>
    <n v="53301"/>
    <n v="0"/>
    <n v="53301"/>
    <s v="United States"/>
    <s v="Seattle"/>
    <m/>
    <n v="596"/>
    <n v="0"/>
    <s v="EMP-"/>
    <n v="17"/>
    <s v="Active"/>
  </r>
  <r>
    <s v="EMP-597"/>
    <x v="21"/>
    <s v="IT"/>
    <s v="Corporate"/>
    <s v="Male"/>
    <n v="45"/>
    <s v="45-55"/>
    <d v="2000-03-02T00:00:00"/>
    <n v="91276"/>
    <n v="0"/>
    <n v="91276"/>
    <s v="United States"/>
    <s v="Seattle"/>
    <m/>
    <n v="597"/>
    <n v="0"/>
    <s v="EMP-"/>
    <n v="26"/>
    <s v="Active"/>
  </r>
  <r>
    <s v="EMP-598"/>
    <x v="0"/>
    <s v="Human Resources"/>
    <s v="Research &amp; Development"/>
    <s v="Female"/>
    <n v="52"/>
    <s v="45-55"/>
    <d v="2017-09-05T00:00:00"/>
    <n v="140042"/>
    <n v="0.13"/>
    <n v="158247.46"/>
    <s v="United States"/>
    <s v="Austin"/>
    <m/>
    <n v="598"/>
    <n v="0"/>
    <s v="EMP-"/>
    <n v="8"/>
    <s v="Active"/>
  </r>
  <r>
    <s v="EMP-599"/>
    <x v="7"/>
    <s v="Accounting"/>
    <s v="Manufacturing"/>
    <s v="Female"/>
    <n v="40"/>
    <s v="35-45"/>
    <d v="2018-12-06T00:00:00"/>
    <n v="57225"/>
    <n v="0"/>
    <n v="57225"/>
    <s v="United States"/>
    <s v="Columbus"/>
    <m/>
    <n v="599"/>
    <n v="0"/>
    <s v="EMP-"/>
    <n v="7"/>
    <s v="Active"/>
  </r>
  <r>
    <s v="EMP-600"/>
    <x v="6"/>
    <s v="Human Resources"/>
    <s v="Speciality Products"/>
    <s v="Female"/>
    <n v="55"/>
    <s v="55-65"/>
    <d v="2010-02-24T00:00:00"/>
    <n v="102839"/>
    <n v="0.05"/>
    <n v="107980.95"/>
    <s v="United States"/>
    <s v="Miami"/>
    <m/>
    <n v="600"/>
    <n v="0"/>
    <s v="EMP-"/>
    <n v="16"/>
    <s v="Active"/>
  </r>
  <r>
    <s v="EMP-601"/>
    <x v="2"/>
    <s v="Marketing"/>
    <s v="Research &amp; Development"/>
    <s v="Male"/>
    <n v="29"/>
    <s v="25-35"/>
    <d v="2021-09-15T00:00:00"/>
    <n v="199783"/>
    <n v="0.21"/>
    <n v="241737.43"/>
    <s v="United States"/>
    <s v="Chicago"/>
    <d v="2022-04-10T00:00:00"/>
    <n v="601"/>
    <n v="1"/>
    <s v="EMP-"/>
    <n v="0"/>
    <s v="Inactive"/>
  </r>
  <r>
    <s v="EMP-602"/>
    <x v="15"/>
    <s v="Human Resources"/>
    <s v="Research &amp; Development"/>
    <s v="Male"/>
    <n v="32"/>
    <s v="25-35"/>
    <d v="2021-04-09T00:00:00"/>
    <n v="70980"/>
    <n v="0"/>
    <n v="70980"/>
    <s v="Brazil"/>
    <s v="Rio de Janerio"/>
    <m/>
    <n v="602"/>
    <n v="0"/>
    <s v="EMP-"/>
    <n v="4"/>
    <s v="Active"/>
  </r>
  <r>
    <s v="EMP-603"/>
    <x v="6"/>
    <s v="Marketing"/>
    <s v="Corporate"/>
    <s v="Male"/>
    <n v="51"/>
    <s v="45-55"/>
    <d v="1997-01-26T00:00:00"/>
    <n v="104431"/>
    <n v="7.0000000000000007E-2"/>
    <n v="111741.17"/>
    <s v="United States"/>
    <s v="Phoenix"/>
    <m/>
    <n v="603"/>
    <n v="0"/>
    <s v="EMP-"/>
    <n v="29"/>
    <s v="Active"/>
  </r>
  <r>
    <s v="EMP-604"/>
    <x v="20"/>
    <s v="Human Resources"/>
    <s v="Speciality Products"/>
    <s v="Male"/>
    <n v="28"/>
    <s v="25-35"/>
    <d v="2021-06-27T00:00:00"/>
    <n v="48510"/>
    <n v="0"/>
    <n v="48510"/>
    <s v="United States"/>
    <s v="Chicago"/>
    <m/>
    <n v="604"/>
    <n v="0"/>
    <s v="EMP-"/>
    <n v="4"/>
    <s v="Active"/>
  </r>
  <r>
    <s v="EMP-605"/>
    <x v="10"/>
    <s v="Engineering"/>
    <s v="Speciality Products"/>
    <s v="Male"/>
    <n v="27"/>
    <s v="25-35"/>
    <d v="2019-05-28T00:00:00"/>
    <n v="70110"/>
    <n v="0"/>
    <n v="70110"/>
    <s v="United States"/>
    <s v="Miami"/>
    <d v="2021-01-07T00:00:00"/>
    <n v="605"/>
    <n v="1"/>
    <s v="EMP-"/>
    <n v="1"/>
    <s v="Inactive"/>
  </r>
  <r>
    <s v="EMP-606"/>
    <x v="2"/>
    <s v="Marketing"/>
    <s v="Corporate"/>
    <s v="Male"/>
    <n v="45"/>
    <s v="45-55"/>
    <d v="2008-03-12T00:00:00"/>
    <n v="186138"/>
    <n v="0.28000000000000003"/>
    <n v="238256.64000000001"/>
    <s v="China"/>
    <s v="Chongqing"/>
    <m/>
    <n v="606"/>
    <n v="0"/>
    <s v="EMP-"/>
    <n v="18"/>
    <s v="Active"/>
  </r>
  <r>
    <s v="EMP-607"/>
    <x v="7"/>
    <s v="Accounting"/>
    <s v="Manufacturing"/>
    <s v="Male"/>
    <n v="58"/>
    <s v="55-65"/>
    <d v="2010-04-19T00:00:00"/>
    <n v="56350"/>
    <n v="0"/>
    <n v="56350"/>
    <s v="Brazil"/>
    <s v="Rio de Janerio"/>
    <m/>
    <n v="607"/>
    <n v="0"/>
    <s v="EMP-"/>
    <n v="15"/>
    <s v="Active"/>
  </r>
  <r>
    <s v="EMP-608"/>
    <x v="0"/>
    <s v="Finance"/>
    <s v="Research &amp; Development"/>
    <s v="Female"/>
    <n v="45"/>
    <s v="45-55"/>
    <d v="2016-01-10T00:00:00"/>
    <n v="149761"/>
    <n v="0.12"/>
    <n v="167732.32"/>
    <s v="United States"/>
    <s v="Columbus"/>
    <m/>
    <n v="608"/>
    <n v="0"/>
    <s v="EMP-"/>
    <n v="10"/>
    <s v="Active"/>
  </r>
  <r>
    <s v="EMP-609"/>
    <x v="0"/>
    <s v="Finance"/>
    <s v="Corporate"/>
    <s v="Male"/>
    <n v="44"/>
    <s v="35-45"/>
    <d v="2007-08-11T00:00:00"/>
    <n v="126277"/>
    <n v="0.13"/>
    <n v="142693.01"/>
    <s v="Brazil"/>
    <s v="Manaus"/>
    <m/>
    <n v="609"/>
    <n v="0"/>
    <s v="EMP-"/>
    <n v="18"/>
    <s v="Active"/>
  </r>
  <r>
    <s v="EMP-610"/>
    <x v="6"/>
    <s v="Sales"/>
    <s v="Speciality Products"/>
    <s v="Male"/>
    <n v="33"/>
    <s v="25-35"/>
    <d v="2013-06-21T00:00:00"/>
    <n v="119631"/>
    <n v="0.06"/>
    <n v="126808.86"/>
    <s v="United States"/>
    <s v="Phoenix"/>
    <m/>
    <n v="610"/>
    <n v="0"/>
    <s v="EMP-"/>
    <n v="12"/>
    <s v="Active"/>
  </r>
  <r>
    <s v="EMP-611"/>
    <x v="9"/>
    <s v="IT"/>
    <s v="Research &amp; Development"/>
    <s v="Male"/>
    <n v="26"/>
    <s v="25-35"/>
    <d v="2020-05-09T00:00:00"/>
    <n v="256561"/>
    <n v="0.39"/>
    <n v="356619.79000000004"/>
    <s v="United States"/>
    <s v="Austin"/>
    <m/>
    <n v="611"/>
    <n v="0"/>
    <s v="EMP-"/>
    <n v="5"/>
    <s v="Active"/>
  </r>
  <r>
    <s v="EMP-612"/>
    <x v="29"/>
    <s v="IT"/>
    <s v="Speciality Products"/>
    <s v="Female"/>
    <n v="45"/>
    <s v="45-55"/>
    <d v="2020-04-16T00:00:00"/>
    <n v="66958"/>
    <n v="0"/>
    <n v="66958"/>
    <s v="United States"/>
    <s v="Miami"/>
    <m/>
    <n v="612"/>
    <n v="0"/>
    <s v="EMP-"/>
    <n v="5"/>
    <s v="Active"/>
  </r>
  <r>
    <s v="EMP-613"/>
    <x v="0"/>
    <s v="Sales"/>
    <s v="Manufacturing"/>
    <s v="Female"/>
    <n v="46"/>
    <s v="45-55"/>
    <d v="2004-02-29T00:00:00"/>
    <n v="158897"/>
    <n v="0.1"/>
    <n v="174786.7"/>
    <s v="China"/>
    <s v="Chongqing"/>
    <m/>
    <n v="613"/>
    <n v="0"/>
    <s v="EMP-"/>
    <n v="22"/>
    <s v="Active"/>
  </r>
  <r>
    <s v="EMP-614"/>
    <x v="1"/>
    <s v="IT"/>
    <s v="Corporate"/>
    <s v="Male"/>
    <n v="37"/>
    <s v="35-45"/>
    <d v="2008-02-15T00:00:00"/>
    <n v="71695"/>
    <n v="0"/>
    <n v="71695"/>
    <s v="United States"/>
    <s v="Phoenix"/>
    <m/>
    <n v="614"/>
    <n v="0"/>
    <s v="EMP-"/>
    <n v="18"/>
    <s v="Active"/>
  </r>
  <r>
    <s v="EMP-615"/>
    <x v="4"/>
    <s v="Marketing"/>
    <s v="Corporate"/>
    <s v="Male"/>
    <n v="40"/>
    <s v="35-45"/>
    <d v="2014-09-22T00:00:00"/>
    <n v="73779"/>
    <n v="0"/>
    <n v="73779"/>
    <s v="China"/>
    <s v="Chongqing"/>
    <d v="2019-05-09T00:00:00"/>
    <n v="615"/>
    <n v="1"/>
    <s v="EMP-"/>
    <n v="4"/>
    <s v="Inactive"/>
  </r>
  <r>
    <s v="EMP-616"/>
    <x v="6"/>
    <s v="Sales"/>
    <s v="Speciality Products"/>
    <s v="Female"/>
    <n v="45"/>
    <s v="45-55"/>
    <d v="2011-10-20T00:00:00"/>
    <n v="123640"/>
    <n v="7.0000000000000007E-2"/>
    <n v="132294.79999999999"/>
    <s v="China"/>
    <s v="Shanghai"/>
    <m/>
    <n v="616"/>
    <n v="0"/>
    <s v="EMP-"/>
    <n v="14"/>
    <s v="Active"/>
  </r>
  <r>
    <s v="EMP-617"/>
    <x v="7"/>
    <s v="Sales"/>
    <s v="Speciality Products"/>
    <s v="Female"/>
    <n v="33"/>
    <s v="25-35"/>
    <d v="2014-04-13T00:00:00"/>
    <n v="46878"/>
    <n v="0"/>
    <n v="46878"/>
    <s v="United States"/>
    <s v="Miami"/>
    <m/>
    <n v="617"/>
    <n v="0"/>
    <s v="EMP-"/>
    <n v="11"/>
    <s v="Active"/>
  </r>
  <r>
    <s v="EMP-618"/>
    <x v="7"/>
    <s v="Marketing"/>
    <s v="Speciality Products"/>
    <s v="Female"/>
    <n v="64"/>
    <s v="55-65"/>
    <d v="2003-02-10T00:00:00"/>
    <n v="57032"/>
    <n v="0"/>
    <n v="57032"/>
    <s v="United States"/>
    <s v="Miami"/>
    <m/>
    <n v="618"/>
    <n v="0"/>
    <s v="EMP-"/>
    <n v="23"/>
    <s v="Active"/>
  </r>
  <r>
    <s v="EMP-619"/>
    <x v="4"/>
    <s v="Sales"/>
    <s v="Manufacturing"/>
    <s v="Female"/>
    <n v="57"/>
    <s v="55-65"/>
    <d v="2007-10-02T00:00:00"/>
    <n v="98150"/>
    <n v="0"/>
    <n v="98150"/>
    <s v="Brazil"/>
    <s v="Rio de Janerio"/>
    <m/>
    <n v="619"/>
    <n v="0"/>
    <s v="EMP-"/>
    <n v="18"/>
    <s v="Active"/>
  </r>
  <r>
    <s v="EMP-620"/>
    <x v="2"/>
    <s v="Marketing"/>
    <s v="Manufacturing"/>
    <s v="Female"/>
    <n v="35"/>
    <s v="35-45"/>
    <d v="2017-03-06T00:00:00"/>
    <n v="171426"/>
    <n v="0.15"/>
    <n v="197139.9"/>
    <s v="China"/>
    <s v="Beijing"/>
    <d v="2017-09-22T00:00:00"/>
    <n v="620"/>
    <n v="1"/>
    <s v="EMP-"/>
    <n v="0"/>
    <s v="Inactive"/>
  </r>
  <r>
    <s v="EMP-621"/>
    <x v="7"/>
    <s v="Finance"/>
    <s v="Manufacturing"/>
    <s v="Female"/>
    <n v="55"/>
    <s v="55-65"/>
    <d v="2021-04-16T00:00:00"/>
    <n v="48266"/>
    <n v="0"/>
    <n v="48266"/>
    <s v="United States"/>
    <s v="Chicago"/>
    <m/>
    <n v="621"/>
    <n v="0"/>
    <s v="EMP-"/>
    <n v="4"/>
    <s v="Active"/>
  </r>
  <r>
    <s v="EMP-622"/>
    <x v="9"/>
    <s v="Finance"/>
    <s v="Research &amp; Development"/>
    <s v="Male"/>
    <n v="36"/>
    <s v="35-45"/>
    <d v="2018-08-18T00:00:00"/>
    <n v="223404"/>
    <n v="0.32"/>
    <n v="294893.28000000003"/>
    <s v="United States"/>
    <s v="Columbus"/>
    <m/>
    <n v="622"/>
    <n v="0"/>
    <s v="EMP-"/>
    <n v="7"/>
    <s v="Active"/>
  </r>
  <r>
    <s v="EMP-623"/>
    <x v="27"/>
    <s v="IT"/>
    <s v="Speciality Products"/>
    <s v="Female"/>
    <n v="57"/>
    <s v="55-65"/>
    <d v="2014-01-10T00:00:00"/>
    <n v="74854"/>
    <n v="0"/>
    <n v="74854"/>
    <s v="United States"/>
    <s v="Seattle"/>
    <m/>
    <n v="623"/>
    <n v="0"/>
    <s v="EMP-"/>
    <n v="12"/>
    <s v="Active"/>
  </r>
  <r>
    <s v="EMP-624"/>
    <x v="9"/>
    <s v="Accounting"/>
    <s v="Speciality Products"/>
    <s v="Female"/>
    <n v="48"/>
    <s v="45-55"/>
    <d v="2007-04-25T00:00:00"/>
    <n v="217783"/>
    <n v="0.36"/>
    <n v="296184.88"/>
    <s v="United States"/>
    <s v="Seattle"/>
    <m/>
    <n v="624"/>
    <n v="0"/>
    <s v="EMP-"/>
    <n v="18"/>
    <s v="Active"/>
  </r>
  <r>
    <s v="EMP-625"/>
    <x v="28"/>
    <s v="IT"/>
    <s v="Manufacturing"/>
    <s v="Female"/>
    <n v="53"/>
    <s v="45-55"/>
    <d v="2004-08-15T00:00:00"/>
    <n v="44735"/>
    <n v="0"/>
    <n v="44735"/>
    <s v="Brazil"/>
    <s v="Manaus"/>
    <m/>
    <n v="625"/>
    <n v="0"/>
    <s v="EMP-"/>
    <n v="21"/>
    <s v="Active"/>
  </r>
  <r>
    <s v="EMP-626"/>
    <x v="13"/>
    <s v="Finance"/>
    <s v="Manufacturing"/>
    <s v="Female"/>
    <n v="41"/>
    <s v="35-45"/>
    <d v="2007-01-09T00:00:00"/>
    <n v="50685"/>
    <n v="0"/>
    <n v="50685"/>
    <s v="United States"/>
    <s v="Columbus"/>
    <m/>
    <n v="626"/>
    <n v="0"/>
    <s v="EMP-"/>
    <n v="19"/>
    <s v="Active"/>
  </r>
  <r>
    <s v="EMP-627"/>
    <x v="13"/>
    <s v="Sales"/>
    <s v="Research &amp; Development"/>
    <s v="Male"/>
    <n v="34"/>
    <s v="25-35"/>
    <d v="2018-03-10T00:00:00"/>
    <n v="58993"/>
    <n v="0"/>
    <n v="58993"/>
    <s v="United States"/>
    <s v="Austin"/>
    <m/>
    <n v="627"/>
    <n v="0"/>
    <s v="EMP-"/>
    <n v="8"/>
    <s v="Active"/>
  </r>
  <r>
    <s v="EMP-628"/>
    <x v="19"/>
    <s v="Engineering"/>
    <s v="Corporate"/>
    <s v="Male"/>
    <n v="47"/>
    <s v="45-55"/>
    <d v="2020-06-08T00:00:00"/>
    <n v="115765"/>
    <n v="0"/>
    <n v="115765"/>
    <s v="United States"/>
    <s v="Miami"/>
    <d v="2021-02-02T00:00:00"/>
    <n v="628"/>
    <n v="1"/>
    <s v="EMP-"/>
    <n v="0"/>
    <s v="Inactive"/>
  </r>
  <r>
    <s v="EMP-629"/>
    <x v="2"/>
    <s v="Accounting"/>
    <s v="Manufacturing"/>
    <s v="Female"/>
    <n v="63"/>
    <s v="55-65"/>
    <d v="2007-03-06T00:00:00"/>
    <n v="193044"/>
    <n v="0.15"/>
    <n v="222000.6"/>
    <s v="United States"/>
    <s v="Miami"/>
    <m/>
    <n v="629"/>
    <n v="0"/>
    <s v="EMP-"/>
    <n v="19"/>
    <s v="Active"/>
  </r>
  <r>
    <s v="EMP-630"/>
    <x v="7"/>
    <s v="Marketing"/>
    <s v="Research &amp; Development"/>
    <s v="Female"/>
    <n v="65"/>
    <s v="65-100"/>
    <d v="2011-06-17T00:00:00"/>
    <n v="56686"/>
    <n v="0"/>
    <n v="56686"/>
    <s v="United States"/>
    <s v="Seattle"/>
    <d v="2015-06-09T00:00:00"/>
    <n v="630"/>
    <n v="1"/>
    <s v="EMP-"/>
    <n v="3"/>
    <s v="Inactive"/>
  </r>
  <r>
    <s v="EMP-631"/>
    <x v="0"/>
    <s v="Finance"/>
    <s v="Manufacturing"/>
    <s v="Female"/>
    <n v="33"/>
    <s v="25-35"/>
    <d v="2019-10-25T00:00:00"/>
    <n v="131652"/>
    <n v="0.11"/>
    <n v="146133.72"/>
    <s v="United States"/>
    <s v="Seattle"/>
    <m/>
    <n v="631"/>
    <n v="0"/>
    <s v="EMP-"/>
    <n v="6"/>
    <s v="Active"/>
  </r>
  <r>
    <s v="EMP-632"/>
    <x v="2"/>
    <s v="Marketing"/>
    <s v="Manufacturing"/>
    <s v="Female"/>
    <n v="45"/>
    <s v="45-55"/>
    <d v="2008-02-29T00:00:00"/>
    <n v="150577"/>
    <n v="0.25"/>
    <n v="188221.25"/>
    <s v="United States"/>
    <s v="Miami"/>
    <m/>
    <n v="632"/>
    <n v="0"/>
    <s v="EMP-"/>
    <n v="18"/>
    <s v="Active"/>
  </r>
  <r>
    <s v="EMP-633"/>
    <x v="11"/>
    <s v="Engineering"/>
    <s v="Research &amp; Development"/>
    <s v="Female"/>
    <n v="37"/>
    <s v="35-45"/>
    <d v="2018-12-27T00:00:00"/>
    <n v="87359"/>
    <n v="0.11"/>
    <n v="96968.49"/>
    <s v="Brazil"/>
    <s v="Rio de Janerio"/>
    <m/>
    <n v="633"/>
    <n v="0"/>
    <s v="EMP-"/>
    <n v="7"/>
    <s v="Active"/>
  </r>
  <r>
    <s v="EMP-634"/>
    <x v="13"/>
    <s v="Sales"/>
    <s v="Speciality Products"/>
    <s v="Female"/>
    <n v="60"/>
    <s v="55-65"/>
    <d v="2014-01-08T00:00:00"/>
    <n v="51877"/>
    <n v="0"/>
    <n v="51877"/>
    <s v="China"/>
    <s v="Beijing"/>
    <m/>
    <n v="634"/>
    <n v="0"/>
    <s v="EMP-"/>
    <n v="12"/>
    <s v="Active"/>
  </r>
  <r>
    <s v="EMP-635"/>
    <x v="29"/>
    <s v="IT"/>
    <s v="Manufacturing"/>
    <s v="Male"/>
    <n v="43"/>
    <s v="35-45"/>
    <d v="2017-01-18T00:00:00"/>
    <n v="86417"/>
    <n v="0"/>
    <n v="86417"/>
    <s v="United States"/>
    <s v="Chicago"/>
    <m/>
    <n v="635"/>
    <n v="0"/>
    <s v="EMP-"/>
    <n v="9"/>
    <s v="Active"/>
  </r>
  <r>
    <s v="EMP-636"/>
    <x v="27"/>
    <s v="IT"/>
    <s v="Research &amp; Development"/>
    <s v="Female"/>
    <n v="65"/>
    <s v="65-100"/>
    <d v="2003-05-08T00:00:00"/>
    <n v="96548"/>
    <n v="0"/>
    <n v="96548"/>
    <s v="United States"/>
    <s v="Austin"/>
    <m/>
    <n v="636"/>
    <n v="0"/>
    <s v="EMP-"/>
    <n v="22"/>
    <s v="Active"/>
  </r>
  <r>
    <s v="EMP-637"/>
    <x v="4"/>
    <s v="Accounting"/>
    <s v="Manufacturing"/>
    <s v="Female"/>
    <n v="43"/>
    <s v="35-45"/>
    <d v="2014-01-23T00:00:00"/>
    <n v="92940"/>
    <n v="0"/>
    <n v="92940"/>
    <s v="China"/>
    <s v="Chengdu"/>
    <m/>
    <n v="637"/>
    <n v="0"/>
    <s v="EMP-"/>
    <n v="12"/>
    <s v="Active"/>
  </r>
  <r>
    <s v="EMP-638"/>
    <x v="13"/>
    <s v="Accounting"/>
    <s v="Speciality Products"/>
    <s v="Male"/>
    <n v="28"/>
    <s v="25-35"/>
    <d v="2018-08-24T00:00:00"/>
    <n v="61410"/>
    <n v="0"/>
    <n v="61410"/>
    <s v="United States"/>
    <s v="Phoenix"/>
    <m/>
    <n v="638"/>
    <n v="0"/>
    <s v="EMP-"/>
    <n v="7"/>
    <s v="Active"/>
  </r>
  <r>
    <s v="EMP-639"/>
    <x v="6"/>
    <s v="Finance"/>
    <s v="Speciality Products"/>
    <s v="Female"/>
    <n v="61"/>
    <s v="55-65"/>
    <d v="2010-04-25T00:00:00"/>
    <n v="110302"/>
    <n v="0.06"/>
    <n v="116920.12"/>
    <s v="United States"/>
    <s v="Miami"/>
    <m/>
    <n v="639"/>
    <n v="0"/>
    <s v="EMP-"/>
    <n v="15"/>
    <s v="Active"/>
  </r>
  <r>
    <s v="EMP-640"/>
    <x v="2"/>
    <s v="Engineering"/>
    <s v="Speciality Products"/>
    <s v="Female"/>
    <n v="45"/>
    <s v="45-55"/>
    <d v="2018-04-22T00:00:00"/>
    <n v="187205"/>
    <n v="0.24"/>
    <n v="232134.2"/>
    <s v="United States"/>
    <s v="Columbus"/>
    <d v="2022-06-20T00:00:00"/>
    <n v="640"/>
    <n v="1"/>
    <s v="EMP-"/>
    <n v="4"/>
    <s v="Inactive"/>
  </r>
  <r>
    <s v="EMP-641"/>
    <x v="4"/>
    <s v="Sales"/>
    <s v="Corporate"/>
    <s v="Male"/>
    <n v="45"/>
    <s v="45-55"/>
    <d v="2011-03-16T00:00:00"/>
    <n v="81687"/>
    <n v="0"/>
    <n v="81687"/>
    <s v="United States"/>
    <s v="Phoenix"/>
    <m/>
    <n v="641"/>
    <n v="0"/>
    <s v="EMP-"/>
    <n v="15"/>
    <s v="Active"/>
  </r>
  <r>
    <s v="EMP-642"/>
    <x v="9"/>
    <s v="IT"/>
    <s v="Speciality Products"/>
    <s v="Male"/>
    <n v="54"/>
    <s v="45-55"/>
    <d v="2009-08-15T00:00:00"/>
    <n v="241083"/>
    <n v="0.39"/>
    <n v="335105.37"/>
    <s v="United States"/>
    <s v="Columbus"/>
    <m/>
    <n v="642"/>
    <n v="0"/>
    <s v="EMP-"/>
    <n v="16"/>
    <s v="Active"/>
  </r>
  <r>
    <s v="EMP-643"/>
    <x v="9"/>
    <s v="Finance"/>
    <s v="Speciality Products"/>
    <s v="Female"/>
    <n v="38"/>
    <s v="35-45"/>
    <d v="2018-11-09T00:00:00"/>
    <n v="223805"/>
    <n v="0.36"/>
    <n v="304374.8"/>
    <s v="United States"/>
    <s v="Chicago"/>
    <m/>
    <n v="643"/>
    <n v="0"/>
    <s v="EMP-"/>
    <n v="7"/>
    <s v="Active"/>
  </r>
  <r>
    <s v="EMP-644"/>
    <x v="2"/>
    <s v="Accounting"/>
    <s v="Corporate"/>
    <s v="Female"/>
    <n v="27"/>
    <s v="25-35"/>
    <d v="2021-07-16T00:00:00"/>
    <n v="161759"/>
    <n v="0.16"/>
    <n v="187640.44"/>
    <s v="United States"/>
    <s v="Miami"/>
    <m/>
    <n v="644"/>
    <n v="0"/>
    <s v="EMP-"/>
    <n v="4"/>
    <s v="Active"/>
  </r>
  <r>
    <s v="EMP-645"/>
    <x v="3"/>
    <s v="IT"/>
    <s v="Research &amp; Development"/>
    <s v="Male"/>
    <n v="40"/>
    <s v="35-45"/>
    <d v="2019-02-24T00:00:00"/>
    <n v="95899"/>
    <n v="0.1"/>
    <n v="105488.9"/>
    <s v="United States"/>
    <s v="Columbus"/>
    <d v="2021-03-08T00:00:00"/>
    <n v="645"/>
    <n v="1"/>
    <s v="EMP-"/>
    <n v="2"/>
    <s v="Inactive"/>
  </r>
  <r>
    <s v="EMP-646"/>
    <x v="4"/>
    <s v="Finance"/>
    <s v="Corporate"/>
    <s v="Male"/>
    <n v="49"/>
    <s v="45-55"/>
    <d v="2019-06-07T00:00:00"/>
    <n v="80700"/>
    <n v="0"/>
    <n v="80700"/>
    <s v="United States"/>
    <s v="Columbus"/>
    <m/>
    <n v="646"/>
    <n v="0"/>
    <s v="EMP-"/>
    <n v="6"/>
    <s v="Active"/>
  </r>
  <r>
    <s v="EMP-647"/>
    <x v="6"/>
    <s v="Human Resources"/>
    <s v="Speciality Products"/>
    <s v="Male"/>
    <n v="54"/>
    <s v="45-55"/>
    <d v="1997-03-11T00:00:00"/>
    <n v="128136"/>
    <n v="0.05"/>
    <n v="134542.79999999999"/>
    <s v="China"/>
    <s v="Beijing"/>
    <m/>
    <n v="647"/>
    <n v="0"/>
    <s v="EMP-"/>
    <n v="29"/>
    <s v="Active"/>
  </r>
  <r>
    <s v="EMP-648"/>
    <x v="13"/>
    <s v="Marketing"/>
    <s v="Corporate"/>
    <s v="Female"/>
    <n v="39"/>
    <s v="35-45"/>
    <d v="2017-04-18T00:00:00"/>
    <n v="58745"/>
    <n v="0"/>
    <n v="58745"/>
    <s v="United States"/>
    <s v="Austin"/>
    <m/>
    <n v="648"/>
    <n v="0"/>
    <s v="EMP-"/>
    <n v="8"/>
    <s v="Active"/>
  </r>
  <r>
    <s v="EMP-649"/>
    <x v="1"/>
    <s v="IT"/>
    <s v="Corporate"/>
    <s v="Female"/>
    <n v="57"/>
    <s v="55-65"/>
    <d v="1992-05-04T00:00:00"/>
    <n v="76202"/>
    <n v="0"/>
    <n v="76202"/>
    <s v="United States"/>
    <s v="Austin"/>
    <d v="1994-12-18T00:00:00"/>
    <n v="649"/>
    <n v="1"/>
    <s v="EMP-"/>
    <n v="2"/>
    <s v="Inactive"/>
  </r>
  <r>
    <s v="EMP-650"/>
    <x v="9"/>
    <s v="Sales"/>
    <s v="Speciality Products"/>
    <s v="Male"/>
    <n v="36"/>
    <s v="35-45"/>
    <d v="2018-03-19T00:00:00"/>
    <n v="195200"/>
    <n v="0.36"/>
    <n v="265472"/>
    <s v="United States"/>
    <s v="Austin"/>
    <m/>
    <n v="650"/>
    <n v="0"/>
    <s v="EMP-"/>
    <n v="7"/>
    <s v="Active"/>
  </r>
  <r>
    <s v="EMP-651"/>
    <x v="13"/>
    <s v="Finance"/>
    <s v="Manufacturing"/>
    <s v="Female"/>
    <n v="45"/>
    <s v="45-55"/>
    <d v="2016-12-07T00:00:00"/>
    <n v="71454"/>
    <n v="0"/>
    <n v="71454"/>
    <s v="China"/>
    <s v="Shanghai"/>
    <m/>
    <n v="651"/>
    <n v="0"/>
    <s v="EMP-"/>
    <n v="9"/>
    <s v="Active"/>
  </r>
  <r>
    <s v="EMP-652"/>
    <x v="21"/>
    <s v="IT"/>
    <s v="Manufacturing"/>
    <s v="Female"/>
    <n v="30"/>
    <s v="25-35"/>
    <d v="2020-02-03T00:00:00"/>
    <n v="94652"/>
    <n v="0"/>
    <n v="94652"/>
    <s v="United States"/>
    <s v="Seattle"/>
    <m/>
    <n v="652"/>
    <n v="0"/>
    <s v="EMP-"/>
    <n v="6"/>
    <s v="Active"/>
  </r>
  <r>
    <s v="EMP-653"/>
    <x v="1"/>
    <s v="IT"/>
    <s v="Manufacturing"/>
    <s v="Male"/>
    <n v="34"/>
    <s v="25-35"/>
    <d v="2016-02-16T00:00:00"/>
    <n v="63411"/>
    <n v="0"/>
    <n v="63411"/>
    <s v="United States"/>
    <s v="Miami"/>
    <m/>
    <n v="653"/>
    <n v="0"/>
    <s v="EMP-"/>
    <n v="10"/>
    <s v="Active"/>
  </r>
  <r>
    <s v="EMP-654"/>
    <x v="13"/>
    <s v="Sales"/>
    <s v="Speciality Products"/>
    <s v="Male"/>
    <n v="31"/>
    <s v="25-35"/>
    <d v="2020-02-17T00:00:00"/>
    <n v="67171"/>
    <n v="0"/>
    <n v="67171"/>
    <s v="China"/>
    <s v="Chongqing"/>
    <d v="2021-05-01T00:00:00"/>
    <n v="654"/>
    <n v="1"/>
    <s v="EMP-"/>
    <n v="1"/>
    <s v="Inactive"/>
  </r>
  <r>
    <s v="EMP-655"/>
    <x v="0"/>
    <s v="Accounting"/>
    <s v="Speciality Products"/>
    <s v="Female"/>
    <n v="28"/>
    <s v="25-35"/>
    <d v="2019-07-06T00:00:00"/>
    <n v="152036"/>
    <n v="0.15"/>
    <n v="174841.4"/>
    <s v="Brazil"/>
    <s v="Rio de Janerio"/>
    <m/>
    <n v="655"/>
    <n v="0"/>
    <s v="EMP-"/>
    <n v="6"/>
    <s v="Active"/>
  </r>
  <r>
    <s v="EMP-656"/>
    <x v="8"/>
    <s v="Engineering"/>
    <s v="Manufacturing"/>
    <s v="Female"/>
    <n v="55"/>
    <s v="55-65"/>
    <d v="2021-03-21T00:00:00"/>
    <n v="95562"/>
    <n v="0"/>
    <n v="95562"/>
    <s v="United States"/>
    <s v="Chicago"/>
    <m/>
    <n v="656"/>
    <n v="0"/>
    <s v="EMP-"/>
    <n v="4"/>
    <s v="Active"/>
  </r>
  <r>
    <s v="EMP-657"/>
    <x v="4"/>
    <s v="Sales"/>
    <s v="Research &amp; Development"/>
    <s v="Male"/>
    <n v="30"/>
    <s v="25-35"/>
    <d v="2019-11-04T00:00:00"/>
    <n v="96092"/>
    <n v="0"/>
    <n v="96092"/>
    <s v="United States"/>
    <s v="Austin"/>
    <m/>
    <n v="657"/>
    <n v="0"/>
    <s v="EMP-"/>
    <n v="6"/>
    <s v="Active"/>
  </r>
  <r>
    <s v="EMP-658"/>
    <x v="9"/>
    <s v="Engineering"/>
    <s v="Manufacturing"/>
    <s v="Male"/>
    <n v="63"/>
    <s v="55-65"/>
    <d v="2013-06-03T00:00:00"/>
    <n v="254289"/>
    <n v="0.39"/>
    <n v="353461.71"/>
    <s v="United States"/>
    <s v="Chicago"/>
    <m/>
    <n v="658"/>
    <n v="0"/>
    <s v="EMP-"/>
    <n v="12"/>
    <s v="Active"/>
  </r>
  <r>
    <s v="EMP-659"/>
    <x v="3"/>
    <s v="IT"/>
    <s v="Research &amp; Development"/>
    <s v="Male"/>
    <n v="26"/>
    <s v="25-35"/>
    <d v="2019-07-10T00:00:00"/>
    <n v="69110"/>
    <n v="0.05"/>
    <n v="72565.5"/>
    <s v="United States"/>
    <s v="Chicago"/>
    <m/>
    <n v="659"/>
    <n v="0"/>
    <s v="EMP-"/>
    <n v="6"/>
    <s v="Active"/>
  </r>
  <r>
    <s v="EMP-660"/>
    <x v="9"/>
    <s v="Marketing"/>
    <s v="Speciality Products"/>
    <s v="Male"/>
    <n v="52"/>
    <s v="45-55"/>
    <d v="2002-06-11T00:00:00"/>
    <n v="236314"/>
    <n v="0.34"/>
    <n v="316660.76"/>
    <s v="United States"/>
    <s v="Miami"/>
    <m/>
    <n v="660"/>
    <n v="0"/>
    <s v="EMP-"/>
    <n v="23"/>
    <s v="Active"/>
  </r>
  <r>
    <s v="EMP-661"/>
    <x v="7"/>
    <s v="Marketing"/>
    <s v="Corporate"/>
    <s v="Male"/>
    <n v="51"/>
    <s v="45-55"/>
    <d v="2007-06-19T00:00:00"/>
    <n v="45206"/>
    <n v="0"/>
    <n v="45206"/>
    <s v="United States"/>
    <s v="Columbus"/>
    <m/>
    <n v="661"/>
    <n v="0"/>
    <s v="EMP-"/>
    <n v="18"/>
    <s v="Active"/>
  </r>
  <r>
    <s v="EMP-662"/>
    <x v="9"/>
    <s v="Finance"/>
    <s v="Research &amp; Development"/>
    <s v="Female"/>
    <n v="25"/>
    <s v="25-35"/>
    <d v="2021-11-15T00:00:00"/>
    <n v="210708"/>
    <n v="0.33"/>
    <n v="280241.64"/>
    <s v="United States"/>
    <s v="Chicago"/>
    <m/>
    <n v="662"/>
    <n v="0"/>
    <s v="EMP-"/>
    <n v="4"/>
    <s v="Active"/>
  </r>
  <r>
    <s v="EMP-663"/>
    <x v="27"/>
    <s v="IT"/>
    <s v="Corporate"/>
    <s v="Male"/>
    <n v="40"/>
    <s v="35-45"/>
    <d v="2021-09-26T00:00:00"/>
    <n v="87770"/>
    <n v="0"/>
    <n v="87770"/>
    <s v="United States"/>
    <s v="Austin"/>
    <m/>
    <n v="663"/>
    <n v="0"/>
    <s v="EMP-"/>
    <n v="4"/>
    <s v="Active"/>
  </r>
  <r>
    <s v="EMP-664"/>
    <x v="6"/>
    <s v="Accounting"/>
    <s v="Corporate"/>
    <s v="Female"/>
    <n v="38"/>
    <s v="35-45"/>
    <d v="2015-08-12T00:00:00"/>
    <n v="106858"/>
    <n v="0.05"/>
    <n v="112200.9"/>
    <s v="United States"/>
    <s v="Seattle"/>
    <m/>
    <n v="664"/>
    <n v="0"/>
    <s v="EMP-"/>
    <n v="10"/>
    <s v="Active"/>
  </r>
  <r>
    <s v="EMP-665"/>
    <x v="2"/>
    <s v="Human Resources"/>
    <s v="Corporate"/>
    <s v="Male"/>
    <n v="60"/>
    <s v="55-65"/>
    <d v="2015-04-14T00:00:00"/>
    <n v="155788"/>
    <n v="0.17"/>
    <n v="182271.96"/>
    <s v="United States"/>
    <s v="Seattle"/>
    <m/>
    <n v="665"/>
    <n v="0"/>
    <s v="EMP-"/>
    <n v="10"/>
    <s v="Active"/>
  </r>
  <r>
    <s v="EMP-666"/>
    <x v="15"/>
    <s v="Human Resources"/>
    <s v="Speciality Products"/>
    <s v="Female"/>
    <n v="45"/>
    <s v="45-55"/>
    <d v="2019-04-26T00:00:00"/>
    <n v="74891"/>
    <n v="0"/>
    <n v="74891"/>
    <s v="Brazil"/>
    <s v="Rio de Janerio"/>
    <m/>
    <n v="666"/>
    <n v="0"/>
    <s v="EMP-"/>
    <n v="6"/>
    <s v="Active"/>
  </r>
  <r>
    <s v="EMP-667"/>
    <x v="8"/>
    <s v="Engineering"/>
    <s v="Corporate"/>
    <s v="Male"/>
    <n v="28"/>
    <s v="25-35"/>
    <d v="2021-12-18T00:00:00"/>
    <n v="95670"/>
    <n v="0"/>
    <n v="95670"/>
    <s v="United States"/>
    <s v="Phoenix"/>
    <m/>
    <n v="667"/>
    <n v="0"/>
    <s v="EMP-"/>
    <n v="4"/>
    <s v="Active"/>
  </r>
  <r>
    <s v="EMP-668"/>
    <x v="5"/>
    <s v="Sales"/>
    <s v="Research &amp; Development"/>
    <s v="Female"/>
    <n v="65"/>
    <s v="65-100"/>
    <d v="2000-09-29T00:00:00"/>
    <n v="67837"/>
    <n v="0"/>
    <n v="67837"/>
    <s v="United States"/>
    <s v="Austin"/>
    <m/>
    <n v="668"/>
    <n v="0"/>
    <s v="EMP-"/>
    <n v="25"/>
    <s v="Active"/>
  </r>
  <r>
    <s v="EMP-669"/>
    <x v="13"/>
    <s v="Sales"/>
    <s v="Research &amp; Development"/>
    <s v="Male"/>
    <n v="41"/>
    <s v="35-45"/>
    <d v="2010-06-04T00:00:00"/>
    <n v="72425"/>
    <n v="0"/>
    <n v="72425"/>
    <s v="China"/>
    <s v="Beijing"/>
    <m/>
    <n v="669"/>
    <n v="0"/>
    <s v="EMP-"/>
    <n v="15"/>
    <s v="Active"/>
  </r>
  <r>
    <s v="EMP-670"/>
    <x v="4"/>
    <s v="Sales"/>
    <s v="Corporate"/>
    <s v="Female"/>
    <n v="52"/>
    <s v="45-55"/>
    <d v="1994-10-16T00:00:00"/>
    <n v="93103"/>
    <n v="0"/>
    <n v="93103"/>
    <s v="United States"/>
    <s v="Phoenix"/>
    <m/>
    <n v="670"/>
    <n v="0"/>
    <s v="EMP-"/>
    <n v="31"/>
    <s v="Active"/>
  </r>
  <r>
    <s v="EMP-671"/>
    <x v="8"/>
    <s v="Engineering"/>
    <s v="Corporate"/>
    <s v="Female"/>
    <n v="56"/>
    <s v="55-65"/>
    <d v="2015-10-14T00:00:00"/>
    <n v="76272"/>
    <n v="0"/>
    <n v="76272"/>
    <s v="United States"/>
    <s v="Miami"/>
    <d v="2021-10-22T00:00:00"/>
    <n v="671"/>
    <n v="1"/>
    <s v="EMP-"/>
    <n v="6"/>
    <s v="Inactive"/>
  </r>
  <r>
    <s v="EMP-672"/>
    <x v="13"/>
    <s v="Finance"/>
    <s v="Manufacturing"/>
    <s v="Female"/>
    <n v="48"/>
    <s v="45-55"/>
    <d v="2003-06-24T00:00:00"/>
    <n v="55760"/>
    <n v="0"/>
    <n v="55760"/>
    <s v="United States"/>
    <s v="Austin"/>
    <m/>
    <n v="672"/>
    <n v="0"/>
    <s v="EMP-"/>
    <n v="22"/>
    <s v="Active"/>
  </r>
  <r>
    <s v="EMP-673"/>
    <x v="9"/>
    <s v="Accounting"/>
    <s v="Corporate"/>
    <s v="Female"/>
    <n v="36"/>
    <s v="35-45"/>
    <d v="2020-01-13T00:00:00"/>
    <n v="253294"/>
    <n v="0.4"/>
    <n v="354611.6"/>
    <s v="United States"/>
    <s v="Miami"/>
    <m/>
    <n v="673"/>
    <n v="0"/>
    <s v="EMP-"/>
    <n v="6"/>
    <s v="Active"/>
  </r>
  <r>
    <s v="EMP-674"/>
    <x v="13"/>
    <s v="Finance"/>
    <s v="Corporate"/>
    <s v="Male"/>
    <n v="60"/>
    <s v="55-65"/>
    <d v="2007-08-16T00:00:00"/>
    <n v="58671"/>
    <n v="0"/>
    <n v="58671"/>
    <s v="United States"/>
    <s v="Columbus"/>
    <m/>
    <n v="674"/>
    <n v="0"/>
    <s v="EMP-"/>
    <n v="18"/>
    <s v="Active"/>
  </r>
  <r>
    <s v="EMP-675"/>
    <x v="5"/>
    <s v="Sales"/>
    <s v="Research &amp; Development"/>
    <s v="Female"/>
    <n v="40"/>
    <s v="35-45"/>
    <d v="2018-03-16T00:00:00"/>
    <n v="55457"/>
    <n v="0"/>
    <n v="55457"/>
    <s v="United States"/>
    <s v="Columbus"/>
    <m/>
    <n v="675"/>
    <n v="0"/>
    <s v="EMP-"/>
    <n v="8"/>
    <s v="Active"/>
  </r>
  <r>
    <s v="EMP-676"/>
    <x v="5"/>
    <s v="Sales"/>
    <s v="Manufacturing"/>
    <s v="Female"/>
    <n v="63"/>
    <s v="55-65"/>
    <d v="2017-09-26T00:00:00"/>
    <n v="72340"/>
    <n v="0"/>
    <n v="72340"/>
    <s v="United States"/>
    <s v="Phoenix"/>
    <d v="2019-04-03T00:00:00"/>
    <n v="676"/>
    <n v="1"/>
    <s v="EMP-"/>
    <n v="1"/>
    <s v="Inactive"/>
  </r>
  <r>
    <s v="EMP-677"/>
    <x v="6"/>
    <s v="Marketing"/>
    <s v="Corporate"/>
    <s v="Female"/>
    <n v="29"/>
    <s v="25-35"/>
    <d v="2016-11-02T00:00:00"/>
    <n v="122054"/>
    <n v="0.06"/>
    <n v="129377.24"/>
    <s v="United States"/>
    <s v="Phoenix"/>
    <m/>
    <n v="677"/>
    <n v="0"/>
    <s v="EMP-"/>
    <n v="9"/>
    <s v="Active"/>
  </r>
  <r>
    <s v="EMP-678"/>
    <x v="2"/>
    <s v="IT"/>
    <s v="Manufacturing"/>
    <s v="Female"/>
    <n v="27"/>
    <s v="25-35"/>
    <d v="2018-01-03T00:00:00"/>
    <n v="167100"/>
    <n v="0.2"/>
    <n v="200520"/>
    <s v="China"/>
    <s v="Chengdu"/>
    <m/>
    <n v="678"/>
    <n v="0"/>
    <s v="EMP-"/>
    <n v="8"/>
    <s v="Active"/>
  </r>
  <r>
    <s v="EMP-679"/>
    <x v="1"/>
    <s v="IT"/>
    <s v="Corporate"/>
    <s v="Female"/>
    <n v="53"/>
    <s v="45-55"/>
    <d v="1997-04-23T00:00:00"/>
    <n v="78153"/>
    <n v="0"/>
    <n v="78153"/>
    <s v="United States"/>
    <s v="Miami"/>
    <m/>
    <n v="679"/>
    <n v="0"/>
    <s v="EMP-"/>
    <n v="28"/>
    <s v="Active"/>
  </r>
  <r>
    <s v="EMP-680"/>
    <x v="6"/>
    <s v="Finance"/>
    <s v="Manufacturing"/>
    <s v="Female"/>
    <n v="37"/>
    <s v="35-45"/>
    <d v="2020-04-14T00:00:00"/>
    <n v="103524"/>
    <n v="0.09"/>
    <n v="112841.16"/>
    <s v="United States"/>
    <s v="Phoenix"/>
    <m/>
    <n v="680"/>
    <n v="0"/>
    <s v="EMP-"/>
    <n v="5"/>
    <s v="Active"/>
  </r>
  <r>
    <s v="EMP-681"/>
    <x v="6"/>
    <s v="IT"/>
    <s v="Corporate"/>
    <s v="Male"/>
    <n v="30"/>
    <s v="25-35"/>
    <d v="2017-08-05T00:00:00"/>
    <n v="119906"/>
    <n v="0.05"/>
    <n v="125901.3"/>
    <s v="United States"/>
    <s v="Columbus"/>
    <m/>
    <n v="681"/>
    <n v="0"/>
    <s v="EMP-"/>
    <n v="8"/>
    <s v="Active"/>
  </r>
  <r>
    <s v="EMP-682"/>
    <x v="7"/>
    <s v="Marketing"/>
    <s v="Speciality Products"/>
    <s v="Female"/>
    <n v="28"/>
    <s v="25-35"/>
    <d v="2020-01-17T00:00:00"/>
    <n v="45061"/>
    <n v="0"/>
    <n v="45061"/>
    <s v="United States"/>
    <s v="Miami"/>
    <m/>
    <n v="682"/>
    <n v="0"/>
    <s v="EMP-"/>
    <n v="6"/>
    <s v="Active"/>
  </r>
  <r>
    <s v="EMP-683"/>
    <x v="30"/>
    <s v="IT"/>
    <s v="Corporate"/>
    <s v="Male"/>
    <n v="51"/>
    <s v="45-55"/>
    <d v="2003-01-17T00:00:00"/>
    <n v="91399"/>
    <n v="0"/>
    <n v="91399"/>
    <s v="United States"/>
    <s v="Seattle"/>
    <m/>
    <n v="683"/>
    <n v="0"/>
    <s v="EMP-"/>
    <n v="23"/>
    <s v="Active"/>
  </r>
  <r>
    <s v="EMP-684"/>
    <x v="14"/>
    <s v="IT"/>
    <s v="Research &amp; Development"/>
    <s v="Male"/>
    <n v="28"/>
    <s v="25-35"/>
    <d v="2017-09-28T00:00:00"/>
    <n v="97336"/>
    <n v="0"/>
    <n v="97336"/>
    <s v="United States"/>
    <s v="Austin"/>
    <m/>
    <n v="684"/>
    <n v="0"/>
    <s v="EMP-"/>
    <n v="8"/>
    <s v="Active"/>
  </r>
  <r>
    <s v="EMP-685"/>
    <x v="0"/>
    <s v="Accounting"/>
    <s v="Corporate"/>
    <s v="Female"/>
    <n v="31"/>
    <s v="25-35"/>
    <d v="2017-01-20T00:00:00"/>
    <n v="124629"/>
    <n v="0.1"/>
    <n v="137091.9"/>
    <s v="United States"/>
    <s v="Columbus"/>
    <m/>
    <n v="685"/>
    <n v="0"/>
    <s v="EMP-"/>
    <n v="9"/>
    <s v="Active"/>
  </r>
  <r>
    <s v="EMP-686"/>
    <x v="9"/>
    <s v="Human Resources"/>
    <s v="Speciality Products"/>
    <s v="Female"/>
    <n v="28"/>
    <s v="25-35"/>
    <d v="2021-07-25T00:00:00"/>
    <n v="231850"/>
    <n v="0.39"/>
    <n v="322271.5"/>
    <s v="United States"/>
    <s v="Miami"/>
    <m/>
    <n v="686"/>
    <n v="0"/>
    <s v="EMP-"/>
    <n v="4"/>
    <s v="Active"/>
  </r>
  <r>
    <s v="EMP-687"/>
    <x v="6"/>
    <s v="Accounting"/>
    <s v="Research &amp; Development"/>
    <s v="Male"/>
    <n v="34"/>
    <s v="25-35"/>
    <d v="2018-06-04T00:00:00"/>
    <n v="128329"/>
    <n v="0.08"/>
    <n v="138595.32"/>
    <s v="United States"/>
    <s v="Phoenix"/>
    <m/>
    <n v="687"/>
    <n v="0"/>
    <s v="EMP-"/>
    <n v="7"/>
    <s v="Active"/>
  </r>
  <r>
    <s v="EMP-688"/>
    <x v="9"/>
    <s v="Marketing"/>
    <s v="Speciality Products"/>
    <s v="Male"/>
    <n v="44"/>
    <s v="35-45"/>
    <d v="2021-03-28T00:00:00"/>
    <n v="186033"/>
    <n v="0.34"/>
    <n v="249284.22"/>
    <s v="Brazil"/>
    <s v="Sao Paulo"/>
    <m/>
    <n v="688"/>
    <n v="0"/>
    <s v="EMP-"/>
    <n v="4"/>
    <s v="Active"/>
  </r>
  <r>
    <s v="EMP-689"/>
    <x v="0"/>
    <s v="Marketing"/>
    <s v="Manufacturing"/>
    <s v="Male"/>
    <n v="60"/>
    <s v="55-65"/>
    <d v="2021-07-26T00:00:00"/>
    <n v="121480"/>
    <n v="0.14000000000000001"/>
    <n v="138487.20000000001"/>
    <s v="United States"/>
    <s v="Phoenix"/>
    <m/>
    <n v="689"/>
    <n v="0"/>
    <s v="EMP-"/>
    <n v="4"/>
    <s v="Active"/>
  </r>
  <r>
    <s v="EMP-690"/>
    <x v="2"/>
    <s v="Human Resources"/>
    <s v="Speciality Products"/>
    <s v="Female"/>
    <n v="41"/>
    <s v="35-45"/>
    <d v="2010-05-21T00:00:00"/>
    <n v="153275"/>
    <n v="0.24"/>
    <n v="190061"/>
    <s v="United States"/>
    <s v="Columbus"/>
    <m/>
    <n v="690"/>
    <n v="0"/>
    <s v="EMP-"/>
    <n v="15"/>
    <s v="Active"/>
  </r>
  <r>
    <s v="EMP-691"/>
    <x v="4"/>
    <s v="Sales"/>
    <s v="Research &amp; Development"/>
    <s v="Female"/>
    <n v="62"/>
    <s v="55-65"/>
    <d v="2020-05-18T00:00:00"/>
    <n v="97830"/>
    <n v="0"/>
    <n v="97830"/>
    <s v="United States"/>
    <s v="Austin"/>
    <m/>
    <n v="691"/>
    <n v="0"/>
    <s v="EMP-"/>
    <n v="5"/>
    <s v="Active"/>
  </r>
  <r>
    <s v="EMP-692"/>
    <x v="9"/>
    <s v="Marketing"/>
    <s v="Corporate"/>
    <s v="Female"/>
    <n v="47"/>
    <s v="45-55"/>
    <d v="1999-03-13T00:00:00"/>
    <n v="239394"/>
    <n v="0.32"/>
    <n v="316000.08"/>
    <s v="United States"/>
    <s v="Austin"/>
    <m/>
    <n v="692"/>
    <n v="0"/>
    <s v="EMP-"/>
    <n v="27"/>
    <s v="Active"/>
  </r>
  <r>
    <s v="EMP-693"/>
    <x v="7"/>
    <s v="Finance"/>
    <s v="Speciality Products"/>
    <s v="Female"/>
    <n v="62"/>
    <s v="55-65"/>
    <d v="2002-09-20T00:00:00"/>
    <n v="49738"/>
    <n v="0"/>
    <n v="49738"/>
    <s v="China"/>
    <s v="Beijing"/>
    <m/>
    <n v="693"/>
    <n v="0"/>
    <s v="EMP-"/>
    <n v="23"/>
    <s v="Active"/>
  </r>
  <r>
    <s v="EMP-694"/>
    <x v="7"/>
    <s v="Accounting"/>
    <s v="Manufacturing"/>
    <s v="Female"/>
    <n v="33"/>
    <s v="25-35"/>
    <d v="2018-05-27T00:00:00"/>
    <n v="45049"/>
    <n v="0"/>
    <n v="45049"/>
    <s v="United States"/>
    <s v="Seattle"/>
    <m/>
    <n v="694"/>
    <n v="0"/>
    <s v="EMP-"/>
    <n v="7"/>
    <s v="Active"/>
  </r>
  <r>
    <s v="EMP-695"/>
    <x v="2"/>
    <s v="Finance"/>
    <s v="Research &amp; Development"/>
    <s v="Female"/>
    <n v="27"/>
    <s v="25-35"/>
    <d v="2020-05-26T00:00:00"/>
    <n v="153628"/>
    <n v="0.28999999999999998"/>
    <n v="198180.12"/>
    <s v="China"/>
    <s v="Chongqing"/>
    <d v="2020-12-12T00:00:00"/>
    <n v="695"/>
    <n v="1"/>
    <s v="EMP-"/>
    <n v="0"/>
    <s v="Inactive"/>
  </r>
  <r>
    <s v="EMP-696"/>
    <x v="0"/>
    <s v="Sales"/>
    <s v="Manufacturing"/>
    <s v="Male"/>
    <n v="25"/>
    <s v="25-35"/>
    <d v="2021-06-15T00:00:00"/>
    <n v="142731"/>
    <n v="0.11"/>
    <n v="158431.41"/>
    <s v="China"/>
    <s v="Shanghai"/>
    <d v="2022-06-03T00:00:00"/>
    <n v="696"/>
    <n v="1"/>
    <s v="EMP-"/>
    <n v="0"/>
    <s v="Inactive"/>
  </r>
  <r>
    <s v="EMP-697"/>
    <x v="0"/>
    <s v="Marketing"/>
    <s v="Speciality Products"/>
    <s v="Female"/>
    <n v="29"/>
    <s v="25-35"/>
    <d v="2020-05-15T00:00:00"/>
    <n v="137106"/>
    <n v="0.12"/>
    <n v="153558.72"/>
    <s v="Brazil"/>
    <s v="Sao Paulo"/>
    <m/>
    <n v="697"/>
    <n v="0"/>
    <s v="EMP-"/>
    <n v="5"/>
    <s v="Active"/>
  </r>
  <r>
    <s v="EMP-698"/>
    <x v="9"/>
    <s v="Finance"/>
    <s v="Corporate"/>
    <s v="Female"/>
    <n v="54"/>
    <s v="45-55"/>
    <d v="2007-09-05T00:00:00"/>
    <n v="183239"/>
    <n v="0.32"/>
    <n v="241875.48"/>
    <s v="United States"/>
    <s v="Seattle"/>
    <m/>
    <n v="698"/>
    <n v="0"/>
    <s v="EMP-"/>
    <n v="18"/>
    <s v="Active"/>
  </r>
  <r>
    <s v="EMP-699"/>
    <x v="7"/>
    <s v="Accounting"/>
    <s v="Manufacturing"/>
    <s v="Female"/>
    <n v="28"/>
    <s v="25-35"/>
    <d v="2019-05-25T00:00:00"/>
    <n v="45819"/>
    <n v="0"/>
    <n v="45819"/>
    <s v="United States"/>
    <s v="Miami"/>
    <m/>
    <n v="699"/>
    <n v="0"/>
    <s v="EMP-"/>
    <n v="6"/>
    <s v="Active"/>
  </r>
  <r>
    <s v="EMP-700"/>
    <x v="7"/>
    <s v="Accounting"/>
    <s v="Research &amp; Development"/>
    <s v="Female"/>
    <n v="54"/>
    <s v="45-55"/>
    <d v="2006-12-29T00:00:00"/>
    <n v="55518"/>
    <n v="0"/>
    <n v="55518"/>
    <s v="United States"/>
    <s v="Columbus"/>
    <m/>
    <n v="700"/>
    <n v="0"/>
    <s v="EMP-"/>
    <n v="19"/>
    <s v="Active"/>
  </r>
  <r>
    <s v="EMP-701"/>
    <x v="6"/>
    <s v="Marketing"/>
    <s v="Manufacturing"/>
    <s v="Female"/>
    <n v="50"/>
    <s v="45-55"/>
    <d v="2012-03-11T00:00:00"/>
    <n v="108134"/>
    <n v="0.1"/>
    <n v="118947.4"/>
    <s v="China"/>
    <s v="Shanghai"/>
    <m/>
    <n v="701"/>
    <n v="0"/>
    <s v="EMP-"/>
    <n v="14"/>
    <s v="Active"/>
  </r>
  <r>
    <s v="EMP-702"/>
    <x v="6"/>
    <s v="Marketing"/>
    <s v="Research &amp; Development"/>
    <s v="Female"/>
    <n v="55"/>
    <s v="55-65"/>
    <d v="1992-12-20T00:00:00"/>
    <n v="113950"/>
    <n v="0.09"/>
    <n v="124205.5"/>
    <s v="United States"/>
    <s v="Miami"/>
    <m/>
    <n v="702"/>
    <n v="0"/>
    <s v="EMP-"/>
    <n v="33"/>
    <s v="Active"/>
  </r>
  <r>
    <s v="EMP-703"/>
    <x v="9"/>
    <s v="Marketing"/>
    <s v="Speciality Products"/>
    <s v="Female"/>
    <n v="52"/>
    <s v="45-55"/>
    <d v="1998-04-01T00:00:00"/>
    <n v="182035"/>
    <n v="0.3"/>
    <n v="236645.5"/>
    <s v="United States"/>
    <s v="Chicago"/>
    <m/>
    <n v="703"/>
    <n v="0"/>
    <s v="EMP-"/>
    <n v="27"/>
    <s v="Active"/>
  </r>
  <r>
    <s v="EMP-704"/>
    <x v="2"/>
    <s v="Accounting"/>
    <s v="Speciality Products"/>
    <s v="Male"/>
    <n v="35"/>
    <s v="35-45"/>
    <d v="2017-08-16T00:00:00"/>
    <n v="181356"/>
    <n v="0.23"/>
    <n v="223067.88"/>
    <s v="China"/>
    <s v="Beijing"/>
    <m/>
    <n v="704"/>
    <n v="0"/>
    <s v="EMP-"/>
    <n v="8"/>
    <s v="Active"/>
  </r>
  <r>
    <s v="EMP-705"/>
    <x v="5"/>
    <s v="Sales"/>
    <s v="Corporate"/>
    <s v="Female"/>
    <n v="26"/>
    <s v="25-35"/>
    <d v="2019-08-21T00:00:00"/>
    <n v="66084"/>
    <n v="0"/>
    <n v="66084"/>
    <s v="United States"/>
    <s v="Seattle"/>
    <m/>
    <n v="705"/>
    <n v="0"/>
    <s v="EMP-"/>
    <n v="6"/>
    <s v="Active"/>
  </r>
  <r>
    <s v="EMP-706"/>
    <x v="29"/>
    <s v="IT"/>
    <s v="Speciality Products"/>
    <s v="Female"/>
    <n v="43"/>
    <s v="35-45"/>
    <d v="2010-04-22T00:00:00"/>
    <n v="76912"/>
    <n v="0"/>
    <n v="76912"/>
    <s v="Brazil"/>
    <s v="Sao Paulo"/>
    <m/>
    <n v="706"/>
    <n v="0"/>
    <s v="EMP-"/>
    <n v="15"/>
    <s v="Active"/>
  </r>
  <r>
    <s v="EMP-707"/>
    <x v="22"/>
    <s v="Engineering"/>
    <s v="Research &amp; Development"/>
    <s v="Female"/>
    <n v="63"/>
    <s v="55-65"/>
    <d v="2018-05-07T00:00:00"/>
    <n v="67987"/>
    <n v="0"/>
    <n v="67987"/>
    <s v="United States"/>
    <s v="Miami"/>
    <m/>
    <n v="707"/>
    <n v="0"/>
    <s v="EMP-"/>
    <n v="7"/>
    <s v="Active"/>
  </r>
  <r>
    <s v="EMP-708"/>
    <x v="13"/>
    <s v="Marketing"/>
    <s v="Manufacturing"/>
    <s v="Male"/>
    <n v="65"/>
    <s v="65-100"/>
    <d v="2005-08-20T00:00:00"/>
    <n v="59833"/>
    <n v="0"/>
    <n v="59833"/>
    <s v="United States"/>
    <s v="Columbus"/>
    <m/>
    <n v="708"/>
    <n v="0"/>
    <s v="EMP-"/>
    <n v="20"/>
    <s v="Active"/>
  </r>
  <r>
    <s v="EMP-709"/>
    <x v="0"/>
    <s v="Marketing"/>
    <s v="Speciality Products"/>
    <s v="Male"/>
    <n v="45"/>
    <s v="45-55"/>
    <d v="2005-04-11T00:00:00"/>
    <n v="128468"/>
    <n v="0.11"/>
    <n v="142599.48000000001"/>
    <s v="United States"/>
    <s v="Chicago"/>
    <m/>
    <n v="709"/>
    <n v="0"/>
    <s v="EMP-"/>
    <n v="20"/>
    <s v="Active"/>
  </r>
  <r>
    <s v="EMP-710"/>
    <x v="6"/>
    <s v="Sales"/>
    <s v="Corporate"/>
    <s v="Male"/>
    <n v="42"/>
    <s v="35-45"/>
    <d v="2011-05-29T00:00:00"/>
    <n v="102440"/>
    <n v="0.06"/>
    <n v="108586.4"/>
    <s v="United States"/>
    <s v="Chicago"/>
    <m/>
    <n v="710"/>
    <n v="0"/>
    <s v="EMP-"/>
    <n v="14"/>
    <s v="Active"/>
  </r>
  <r>
    <s v="EMP-711"/>
    <x v="9"/>
    <s v="IT"/>
    <s v="Speciality Products"/>
    <s v="Male"/>
    <n v="59"/>
    <s v="55-65"/>
    <d v="2010-12-30T00:00:00"/>
    <n v="246619"/>
    <n v="0.36"/>
    <n v="335401.83999999997"/>
    <s v="United States"/>
    <s v="Miami"/>
    <m/>
    <n v="711"/>
    <n v="0"/>
    <s v="EMP-"/>
    <n v="15"/>
    <s v="Active"/>
  </r>
  <r>
    <s v="EMP-712"/>
    <x v="6"/>
    <s v="Human Resources"/>
    <s v="Corporate"/>
    <s v="Female"/>
    <n v="42"/>
    <s v="35-45"/>
    <d v="2017-11-19T00:00:00"/>
    <n v="101143"/>
    <n v="0.06"/>
    <n v="107211.58"/>
    <s v="United States"/>
    <s v="Miami"/>
    <m/>
    <n v="712"/>
    <n v="0"/>
    <s v="EMP-"/>
    <n v="8"/>
    <s v="Active"/>
  </r>
  <r>
    <s v="EMP-713"/>
    <x v="20"/>
    <s v="Human Resources"/>
    <s v="Manufacturing"/>
    <s v="Female"/>
    <n v="45"/>
    <s v="45-55"/>
    <d v="2005-10-14T00:00:00"/>
    <n v="51404"/>
    <n v="0"/>
    <n v="51404"/>
    <s v="Brazil"/>
    <s v="Manaus"/>
    <d v="2009-12-06T00:00:00"/>
    <n v="713"/>
    <n v="1"/>
    <s v="EMP-"/>
    <n v="4"/>
    <s v="Inactive"/>
  </r>
  <r>
    <s v="EMP-714"/>
    <x v="17"/>
    <s v="Engineering"/>
    <s v="Speciality Products"/>
    <s v="Male"/>
    <n v="45"/>
    <s v="45-55"/>
    <d v="2015-11-21T00:00:00"/>
    <n v="87292"/>
    <n v="0"/>
    <n v="87292"/>
    <s v="United States"/>
    <s v="Columbus"/>
    <m/>
    <n v="714"/>
    <n v="0"/>
    <s v="EMP-"/>
    <n v="10"/>
    <s v="Active"/>
  </r>
  <r>
    <s v="EMP-715"/>
    <x v="2"/>
    <s v="Marketing"/>
    <s v="Speciality Products"/>
    <s v="Female"/>
    <n v="28"/>
    <s v="25-35"/>
    <d v="2019-12-11T00:00:00"/>
    <n v="182321"/>
    <n v="0.28000000000000003"/>
    <n v="233370.88"/>
    <s v="China"/>
    <s v="Beijing"/>
    <m/>
    <n v="715"/>
    <n v="0"/>
    <s v="EMP-"/>
    <n v="6"/>
    <s v="Active"/>
  </r>
  <r>
    <s v="EMP-716"/>
    <x v="28"/>
    <s v="IT"/>
    <s v="Corporate"/>
    <s v="Male"/>
    <n v="51"/>
    <s v="45-55"/>
    <d v="2014-02-27T00:00:00"/>
    <n v="53929"/>
    <n v="0"/>
    <n v="53929"/>
    <s v="United States"/>
    <s v="Miami"/>
    <d v="2017-12-22T00:00:00"/>
    <n v="716"/>
    <n v="1"/>
    <s v="EMP-"/>
    <n v="3"/>
    <s v="Inactive"/>
  </r>
  <r>
    <s v="EMP-717"/>
    <x v="9"/>
    <s v="Accounting"/>
    <s v="Manufacturing"/>
    <s v="Female"/>
    <n v="38"/>
    <s v="35-45"/>
    <d v="2012-12-13T00:00:00"/>
    <n v="191571"/>
    <n v="0.32"/>
    <n v="252873.72"/>
    <s v="United States"/>
    <s v="Austin"/>
    <m/>
    <n v="717"/>
    <n v="0"/>
    <s v="EMP-"/>
    <n v="13"/>
    <s v="Active"/>
  </r>
  <r>
    <s v="EMP-718"/>
    <x v="0"/>
    <s v="Accounting"/>
    <s v="Corporate"/>
    <s v="Female"/>
    <n v="62"/>
    <s v="55-65"/>
    <d v="2009-01-30T00:00:00"/>
    <n v="150555"/>
    <n v="0.13"/>
    <n v="170127.15"/>
    <s v="United States"/>
    <s v="Phoenix"/>
    <m/>
    <n v="718"/>
    <n v="0"/>
    <s v="EMP-"/>
    <n v="17"/>
    <s v="Active"/>
  </r>
  <r>
    <s v="EMP-719"/>
    <x v="6"/>
    <s v="Finance"/>
    <s v="Corporate"/>
    <s v="Male"/>
    <n v="52"/>
    <s v="45-55"/>
    <d v="2009-10-05T00:00:00"/>
    <n v="122890"/>
    <n v="7.0000000000000007E-2"/>
    <n v="131492.29999999999"/>
    <s v="China"/>
    <s v="Shanghai"/>
    <m/>
    <n v="719"/>
    <n v="0"/>
    <s v="EMP-"/>
    <n v="16"/>
    <s v="Active"/>
  </r>
  <r>
    <s v="EMP-720"/>
    <x v="9"/>
    <s v="Finance"/>
    <s v="Research &amp; Development"/>
    <s v="Male"/>
    <n v="52"/>
    <s v="45-55"/>
    <d v="1997-05-26T00:00:00"/>
    <n v="216999"/>
    <n v="0.37"/>
    <n v="297288.63"/>
    <s v="United States"/>
    <s v="Miami"/>
    <m/>
    <n v="720"/>
    <n v="0"/>
    <s v="EMP-"/>
    <n v="28"/>
    <s v="Active"/>
  </r>
  <r>
    <s v="EMP-721"/>
    <x v="6"/>
    <s v="Human Resources"/>
    <s v="Corporate"/>
    <s v="Male"/>
    <n v="48"/>
    <s v="45-55"/>
    <d v="2015-07-16T00:00:00"/>
    <n v="110565"/>
    <n v="0.09"/>
    <n v="120515.85"/>
    <s v="China"/>
    <s v="Beijing"/>
    <m/>
    <n v="721"/>
    <n v="0"/>
    <s v="EMP-"/>
    <n v="10"/>
    <s v="Active"/>
  </r>
  <r>
    <s v="EMP-722"/>
    <x v="12"/>
    <s v="IT"/>
    <s v="Speciality Products"/>
    <s v="Male"/>
    <n v="38"/>
    <s v="35-45"/>
    <d v="2015-04-19T00:00:00"/>
    <n v="48762"/>
    <n v="0"/>
    <n v="48762"/>
    <s v="United States"/>
    <s v="Seattle"/>
    <m/>
    <n v="722"/>
    <n v="0"/>
    <s v="EMP-"/>
    <n v="10"/>
    <s v="Active"/>
  </r>
  <r>
    <s v="EMP-723"/>
    <x v="25"/>
    <s v="Engineering"/>
    <s v="Speciality Products"/>
    <s v="Female"/>
    <n v="51"/>
    <s v="45-55"/>
    <d v="2017-02-11T00:00:00"/>
    <n v="87036"/>
    <n v="0"/>
    <n v="87036"/>
    <s v="China"/>
    <s v="Chongqing"/>
    <m/>
    <n v="723"/>
    <n v="0"/>
    <s v="EMP-"/>
    <n v="9"/>
    <s v="Active"/>
  </r>
  <r>
    <s v="EMP-724"/>
    <x v="2"/>
    <s v="Marketing"/>
    <s v="Speciality Products"/>
    <s v="Male"/>
    <n v="32"/>
    <s v="25-35"/>
    <d v="2016-11-28T00:00:00"/>
    <n v="177443"/>
    <n v="0.16"/>
    <n v="205833.88"/>
    <s v="United States"/>
    <s v="Seattle"/>
    <m/>
    <n v="724"/>
    <n v="0"/>
    <s v="EMP-"/>
    <n v="9"/>
    <s v="Active"/>
  </r>
  <r>
    <s v="EMP-725"/>
    <x v="14"/>
    <s v="IT"/>
    <s v="Research &amp; Development"/>
    <s v="Female"/>
    <n v="36"/>
    <s v="35-45"/>
    <d v="2016-04-29T00:00:00"/>
    <n v="75862"/>
    <n v="0"/>
    <n v="75862"/>
    <s v="United States"/>
    <s v="Austin"/>
    <m/>
    <n v="725"/>
    <n v="0"/>
    <s v="EMP-"/>
    <n v="9"/>
    <s v="Active"/>
  </r>
  <r>
    <s v="EMP-726"/>
    <x v="15"/>
    <s v="Human Resources"/>
    <s v="Research &amp; Development"/>
    <s v="Female"/>
    <n v="45"/>
    <s v="45-55"/>
    <d v="2019-04-26T00:00:00"/>
    <n v="90870"/>
    <n v="0"/>
    <n v="90870"/>
    <s v="United States"/>
    <s v="Chicago"/>
    <m/>
    <n v="726"/>
    <n v="0"/>
    <s v="EMP-"/>
    <n v="6"/>
    <s v="Active"/>
  </r>
  <r>
    <s v="EMP-727"/>
    <x v="11"/>
    <s v="Engineering"/>
    <s v="Corporate"/>
    <s v="Female"/>
    <n v="32"/>
    <s v="25-35"/>
    <d v="2014-12-04T00:00:00"/>
    <n v="99202"/>
    <n v="0.11"/>
    <n v="110114.22"/>
    <s v="United States"/>
    <s v="Phoenix"/>
    <m/>
    <n v="727"/>
    <n v="0"/>
    <s v="EMP-"/>
    <n v="11"/>
    <s v="Active"/>
  </r>
  <r>
    <s v="EMP-728"/>
    <x v="4"/>
    <s v="Marketing"/>
    <s v="Corporate"/>
    <s v="Male"/>
    <n v="45"/>
    <s v="45-55"/>
    <d v="2007-09-22T00:00:00"/>
    <n v="92293"/>
    <n v="0"/>
    <n v="92293"/>
    <s v="China"/>
    <s v="Chengdu"/>
    <m/>
    <n v="728"/>
    <n v="0"/>
    <s v="EMP-"/>
    <n v="18"/>
    <s v="Active"/>
  </r>
  <r>
    <s v="EMP-729"/>
    <x v="29"/>
    <s v="IT"/>
    <s v="Corporate"/>
    <s v="Male"/>
    <n v="54"/>
    <s v="45-55"/>
    <d v="1992-06-30T00:00:00"/>
    <n v="63196"/>
    <n v="0"/>
    <n v="63196"/>
    <s v="United States"/>
    <s v="Chicago"/>
    <d v="2014-10-26T00:00:00"/>
    <n v="729"/>
    <n v="1"/>
    <s v="EMP-"/>
    <n v="22"/>
    <s v="Inactive"/>
  </r>
  <r>
    <s v="EMP-730"/>
    <x v="25"/>
    <s v="Engineering"/>
    <s v="Speciality Products"/>
    <s v="Female"/>
    <n v="48"/>
    <s v="45-55"/>
    <d v="2012-05-03T00:00:00"/>
    <n v="65340"/>
    <n v="0"/>
    <n v="65340"/>
    <s v="China"/>
    <s v="Shanghai"/>
    <d v="2018-05-09T00:00:00"/>
    <n v="730"/>
    <n v="1"/>
    <s v="EMP-"/>
    <n v="6"/>
    <s v="Inactive"/>
  </r>
  <r>
    <s v="EMP-731"/>
    <x v="9"/>
    <s v="Marketing"/>
    <s v="Corporate"/>
    <s v="Male"/>
    <n v="45"/>
    <s v="45-55"/>
    <d v="2015-09-24T00:00:00"/>
    <n v="202680"/>
    <n v="0.32"/>
    <n v="267537.59999999998"/>
    <s v="United States"/>
    <s v="Phoenix"/>
    <d v="2022-08-17T00:00:00"/>
    <n v="731"/>
    <n v="1"/>
    <s v="EMP-"/>
    <n v="6"/>
    <s v="Inactive"/>
  </r>
  <r>
    <s v="EMP-732"/>
    <x v="3"/>
    <s v="IT"/>
    <s v="Manufacturing"/>
    <s v="Female"/>
    <n v="46"/>
    <s v="45-55"/>
    <d v="2017-04-24T00:00:00"/>
    <n v="77461"/>
    <n v="0.09"/>
    <n v="84432.49"/>
    <s v="Brazil"/>
    <s v="Sao Paulo"/>
    <m/>
    <n v="732"/>
    <n v="0"/>
    <s v="EMP-"/>
    <n v="8"/>
    <s v="Active"/>
  </r>
  <r>
    <s v="EMP-733"/>
    <x v="19"/>
    <s v="Engineering"/>
    <s v="Research &amp; Development"/>
    <s v="Female"/>
    <n v="40"/>
    <s v="35-45"/>
    <d v="2016-09-09T00:00:00"/>
    <n v="109680"/>
    <n v="0"/>
    <n v="109680"/>
    <s v="China"/>
    <s v="Chengdu"/>
    <m/>
    <n v="733"/>
    <n v="0"/>
    <s v="EMP-"/>
    <n v="9"/>
    <s v="Active"/>
  </r>
  <r>
    <s v="EMP-734"/>
    <x v="2"/>
    <s v="Sales"/>
    <s v="Manufacturing"/>
    <s v="Female"/>
    <n v="61"/>
    <s v="55-65"/>
    <d v="1997-08-19T00:00:00"/>
    <n v="159567"/>
    <n v="0.28000000000000003"/>
    <n v="204245.76000000001"/>
    <s v="United States"/>
    <s v="Phoenix"/>
    <m/>
    <n v="734"/>
    <n v="0"/>
    <s v="EMP-"/>
    <n v="28"/>
    <s v="Active"/>
  </r>
  <r>
    <s v="EMP-735"/>
    <x v="25"/>
    <s v="Engineering"/>
    <s v="Speciality Products"/>
    <s v="Male"/>
    <n v="54"/>
    <s v="45-55"/>
    <d v="2012-11-24T00:00:00"/>
    <n v="94407"/>
    <n v="0"/>
    <n v="94407"/>
    <s v="Brazil"/>
    <s v="Sao Paulo"/>
    <m/>
    <n v="735"/>
    <n v="0"/>
    <s v="EMP-"/>
    <n v="13"/>
    <s v="Active"/>
  </r>
  <r>
    <s v="EMP-736"/>
    <x v="9"/>
    <s v="Human Resources"/>
    <s v="Corporate"/>
    <s v="Male"/>
    <n v="62"/>
    <s v="55-65"/>
    <d v="2002-08-16T00:00:00"/>
    <n v="234594"/>
    <n v="0.33"/>
    <n v="312010.02"/>
    <s v="United States"/>
    <s v="Seattle"/>
    <m/>
    <n v="736"/>
    <n v="0"/>
    <s v="EMP-"/>
    <n v="23"/>
    <s v="Active"/>
  </r>
  <r>
    <s v="EMP-737"/>
    <x v="28"/>
    <s v="IT"/>
    <s v="Speciality Products"/>
    <s v="Male"/>
    <n v="48"/>
    <s v="45-55"/>
    <d v="2002-02-11T00:00:00"/>
    <n v="43080"/>
    <n v="0"/>
    <n v="43080"/>
    <s v="United States"/>
    <s v="Austin"/>
    <m/>
    <n v="737"/>
    <n v="0"/>
    <s v="EMP-"/>
    <n v="24"/>
    <s v="Active"/>
  </r>
  <r>
    <s v="EMP-738"/>
    <x v="6"/>
    <s v="Marketing"/>
    <s v="Manufacturing"/>
    <s v="Female"/>
    <n v="29"/>
    <s v="25-35"/>
    <d v="2021-05-09T00:00:00"/>
    <n v="129541"/>
    <n v="0.08"/>
    <n v="139904.28"/>
    <s v="United States"/>
    <s v="Phoenix"/>
    <d v="2021-05-24T00:00:00"/>
    <n v="738"/>
    <n v="1"/>
    <s v="EMP-"/>
    <n v="0"/>
    <s v="Inactive"/>
  </r>
  <r>
    <s v="EMP-739"/>
    <x v="2"/>
    <s v="Sales"/>
    <s v="Research &amp; Development"/>
    <s v="Male"/>
    <n v="39"/>
    <s v="35-45"/>
    <d v="2013-12-27T00:00:00"/>
    <n v="165756"/>
    <n v="0.28000000000000003"/>
    <n v="212167.67999999999"/>
    <s v="United States"/>
    <s v="Columbus"/>
    <d v="2020-06-09T00:00:00"/>
    <n v="739"/>
    <n v="1"/>
    <s v="EMP-"/>
    <n v="6"/>
    <s v="Inactive"/>
  </r>
  <r>
    <s v="EMP-740"/>
    <x v="0"/>
    <s v="Finance"/>
    <s v="Speciality Products"/>
    <s v="Male"/>
    <n v="44"/>
    <s v="35-45"/>
    <d v="2010-04-06T00:00:00"/>
    <n v="142878"/>
    <n v="0.12"/>
    <n v="160023.35999999999"/>
    <s v="United States"/>
    <s v="Columbus"/>
    <m/>
    <n v="740"/>
    <n v="0"/>
    <s v="EMP-"/>
    <n v="15"/>
    <s v="Active"/>
  </r>
  <r>
    <s v="EMP-741"/>
    <x v="2"/>
    <s v="Engineering"/>
    <s v="Manufacturing"/>
    <s v="Male"/>
    <n v="52"/>
    <s v="45-55"/>
    <d v="2006-10-28T00:00:00"/>
    <n v="187992"/>
    <n v="0.28000000000000003"/>
    <n v="240629.76000000001"/>
    <s v="United States"/>
    <s v="Miami"/>
    <m/>
    <n v="741"/>
    <n v="0"/>
    <s v="EMP-"/>
    <n v="19"/>
    <s v="Active"/>
  </r>
  <r>
    <s v="EMP-742"/>
    <x v="9"/>
    <s v="Human Resources"/>
    <s v="Speciality Products"/>
    <s v="Female"/>
    <n v="45"/>
    <s v="45-55"/>
    <d v="2019-02-25T00:00:00"/>
    <n v="249801"/>
    <n v="0.39"/>
    <n v="347223.39"/>
    <s v="Brazil"/>
    <s v="Sao Paulo"/>
    <m/>
    <n v="742"/>
    <n v="0"/>
    <s v="EMP-"/>
    <n v="7"/>
    <s v="Active"/>
  </r>
  <r>
    <s v="EMP-743"/>
    <x v="32"/>
    <s v="IT"/>
    <s v="Research &amp; Development"/>
    <s v="Male"/>
    <n v="48"/>
    <s v="45-55"/>
    <d v="2006-09-27T00:00:00"/>
    <n v="76505"/>
    <n v="0"/>
    <n v="76505"/>
    <s v="United States"/>
    <s v="Seattle"/>
    <d v="2007-04-08T00:00:00"/>
    <n v="743"/>
    <n v="1"/>
    <s v="EMP-"/>
    <n v="0"/>
    <s v="Inactive"/>
  </r>
  <r>
    <s v="EMP-744"/>
    <x v="31"/>
    <s v="IT"/>
    <s v="Corporate"/>
    <s v="Male"/>
    <n v="39"/>
    <s v="35-45"/>
    <d v="2016-10-21T00:00:00"/>
    <n v="84297"/>
    <n v="0"/>
    <n v="84297"/>
    <s v="Brazil"/>
    <s v="Manaus"/>
    <m/>
    <n v="744"/>
    <n v="0"/>
    <s v="EMP-"/>
    <n v="9"/>
    <s v="Active"/>
  </r>
  <r>
    <s v="EMP-745"/>
    <x v="4"/>
    <s v="Sales"/>
    <s v="Speciality Products"/>
    <s v="Female"/>
    <n v="53"/>
    <s v="45-55"/>
    <d v="2017-01-09T00:00:00"/>
    <n v="75769"/>
    <n v="0"/>
    <n v="75769"/>
    <s v="Brazil"/>
    <s v="Manaus"/>
    <d v="2020-07-17T00:00:00"/>
    <n v="745"/>
    <n v="1"/>
    <s v="EMP-"/>
    <n v="3"/>
    <s v="Inactive"/>
  </r>
  <r>
    <s v="EMP-746"/>
    <x v="9"/>
    <s v="Accounting"/>
    <s v="Speciality Products"/>
    <s v="Male"/>
    <n v="41"/>
    <s v="35-45"/>
    <d v="2013-08-17T00:00:00"/>
    <n v="235619"/>
    <n v="0.3"/>
    <n v="306304.7"/>
    <s v="United States"/>
    <s v="Seattle"/>
    <m/>
    <n v="746"/>
    <n v="0"/>
    <s v="EMP-"/>
    <n v="12"/>
    <s v="Active"/>
  </r>
  <r>
    <s v="EMP-747"/>
    <x v="2"/>
    <s v="Engineering"/>
    <s v="Speciality Products"/>
    <s v="Male"/>
    <n v="40"/>
    <s v="35-45"/>
    <d v="2020-02-07T00:00:00"/>
    <n v="187187"/>
    <n v="0.18"/>
    <n v="220880.66"/>
    <s v="Brazil"/>
    <s v="Manaus"/>
    <m/>
    <n v="747"/>
    <n v="0"/>
    <s v="EMP-"/>
    <n v="6"/>
    <s v="Active"/>
  </r>
  <r>
    <s v="EMP-748"/>
    <x v="24"/>
    <s v="IT"/>
    <s v="Research &amp; Development"/>
    <s v="Male"/>
    <n v="48"/>
    <s v="45-55"/>
    <d v="2005-07-27T00:00:00"/>
    <n v="68987"/>
    <n v="0"/>
    <n v="68987"/>
    <s v="United States"/>
    <s v="Chicago"/>
    <d v="2006-04-22T00:00:00"/>
    <n v="748"/>
    <n v="1"/>
    <s v="EMP-"/>
    <n v="0"/>
    <s v="Inactive"/>
  </r>
  <r>
    <s v="EMP-749"/>
    <x v="2"/>
    <s v="Engineering"/>
    <s v="Speciality Products"/>
    <s v="Male"/>
    <n v="41"/>
    <s v="35-45"/>
    <d v="2007-03-15T00:00:00"/>
    <n v="155926"/>
    <n v="0.24"/>
    <n v="193348.24"/>
    <s v="United States"/>
    <s v="Columbus"/>
    <d v="2008-05-30T00:00:00"/>
    <n v="749"/>
    <n v="1"/>
    <s v="EMP-"/>
    <n v="1"/>
    <s v="Inactive"/>
  </r>
  <r>
    <s v="EMP-750"/>
    <x v="4"/>
    <s v="Accounting"/>
    <s v="Speciality Products"/>
    <s v="Male"/>
    <n v="54"/>
    <s v="45-55"/>
    <d v="2016-05-04T00:00:00"/>
    <n v="93668"/>
    <n v="0"/>
    <n v="93668"/>
    <s v="United States"/>
    <s v="Chicago"/>
    <m/>
    <n v="750"/>
    <n v="0"/>
    <s v="EMP-"/>
    <n v="9"/>
    <s v="Active"/>
  </r>
  <r>
    <s v="EMP-751"/>
    <x v="16"/>
    <s v="Human Resources"/>
    <s v="Research &amp; Development"/>
    <s v="Male"/>
    <n v="38"/>
    <s v="35-45"/>
    <d v="2019-11-29T00:00:00"/>
    <n v="69647"/>
    <n v="0"/>
    <n v="69647"/>
    <s v="United States"/>
    <s v="Miami"/>
    <d v="2022-04-20T00:00:00"/>
    <n v="751"/>
    <n v="1"/>
    <s v="EMP-"/>
    <n v="2"/>
    <s v="Inactive"/>
  </r>
  <r>
    <s v="EMP-752"/>
    <x v="27"/>
    <s v="IT"/>
    <s v="Corporate"/>
    <s v="Male"/>
    <n v="57"/>
    <s v="55-65"/>
    <d v="2003-06-26T00:00:00"/>
    <n v="63318"/>
    <n v="0"/>
    <n v="63318"/>
    <s v="United States"/>
    <s v="Columbus"/>
    <m/>
    <n v="752"/>
    <n v="0"/>
    <s v="EMP-"/>
    <n v="22"/>
    <s v="Active"/>
  </r>
  <r>
    <s v="EMP-753"/>
    <x v="4"/>
    <s v="Marketing"/>
    <s v="Manufacturing"/>
    <s v="Male"/>
    <n v="63"/>
    <s v="55-65"/>
    <d v="2017-02-12T00:00:00"/>
    <n v="77629"/>
    <n v="0"/>
    <n v="77629"/>
    <s v="China"/>
    <s v="Beijing"/>
    <m/>
    <n v="753"/>
    <n v="0"/>
    <s v="EMP-"/>
    <n v="9"/>
    <s v="Active"/>
  </r>
  <r>
    <s v="EMP-754"/>
    <x v="0"/>
    <s v="Human Resources"/>
    <s v="Manufacturing"/>
    <s v="Male"/>
    <n v="62"/>
    <s v="55-65"/>
    <d v="2017-11-22T00:00:00"/>
    <n v="138808"/>
    <n v="0.15"/>
    <n v="159629.20000000001"/>
    <s v="China"/>
    <s v="Chongqing"/>
    <m/>
    <n v="754"/>
    <n v="0"/>
    <s v="EMP-"/>
    <n v="8"/>
    <s v="Active"/>
  </r>
  <r>
    <s v="EMP-755"/>
    <x v="14"/>
    <s v="IT"/>
    <s v="Research &amp; Development"/>
    <s v="Female"/>
    <n v="49"/>
    <s v="45-55"/>
    <d v="2014-03-05T00:00:00"/>
    <n v="88777"/>
    <n v="0"/>
    <n v="88777"/>
    <s v="United States"/>
    <s v="Chicago"/>
    <m/>
    <n v="755"/>
    <n v="0"/>
    <s v="EMP-"/>
    <n v="12"/>
    <s v="Active"/>
  </r>
  <r>
    <s v="EMP-756"/>
    <x v="2"/>
    <s v="Accounting"/>
    <s v="Corporate"/>
    <s v="Female"/>
    <n v="60"/>
    <s v="55-65"/>
    <d v="2004-05-14T00:00:00"/>
    <n v="186378"/>
    <n v="0.26"/>
    <n v="234836.28"/>
    <s v="China"/>
    <s v="Chongqing"/>
    <m/>
    <n v="756"/>
    <n v="0"/>
    <s v="EMP-"/>
    <n v="21"/>
    <s v="Active"/>
  </r>
  <r>
    <s v="EMP-757"/>
    <x v="10"/>
    <s v="Engineering"/>
    <s v="Research &amp; Development"/>
    <s v="Female"/>
    <n v="45"/>
    <s v="45-55"/>
    <d v="2015-04-23T00:00:00"/>
    <n v="60017"/>
    <n v="0"/>
    <n v="60017"/>
    <s v="United States"/>
    <s v="Chicago"/>
    <m/>
    <n v="757"/>
    <n v="0"/>
    <s v="EMP-"/>
    <n v="10"/>
    <s v="Active"/>
  </r>
  <r>
    <s v="EMP-758"/>
    <x v="0"/>
    <s v="Sales"/>
    <s v="Speciality Products"/>
    <s v="Female"/>
    <n v="45"/>
    <s v="45-55"/>
    <d v="2018-07-24T00:00:00"/>
    <n v="148991"/>
    <n v="0.12"/>
    <n v="166869.91999999998"/>
    <s v="Brazil"/>
    <s v="Sao Paulo"/>
    <m/>
    <n v="758"/>
    <n v="0"/>
    <s v="EMP-"/>
    <n v="7"/>
    <s v="Active"/>
  </r>
  <r>
    <s v="EMP-759"/>
    <x v="17"/>
    <s v="Engineering"/>
    <s v="Speciality Products"/>
    <s v="Female"/>
    <n v="52"/>
    <s v="45-55"/>
    <d v="2008-03-25T00:00:00"/>
    <n v="97398"/>
    <n v="0"/>
    <n v="97398"/>
    <s v="Brazil"/>
    <s v="Manaus"/>
    <m/>
    <n v="759"/>
    <n v="0"/>
    <s v="EMP-"/>
    <n v="17"/>
    <s v="Active"/>
  </r>
  <r>
    <s v="EMP-760"/>
    <x v="15"/>
    <s v="Human Resources"/>
    <s v="Manufacturing"/>
    <s v="Female"/>
    <n v="63"/>
    <s v="55-65"/>
    <d v="2007-05-02T00:00:00"/>
    <n v="72805"/>
    <n v="0"/>
    <n v="72805"/>
    <s v="China"/>
    <s v="Shanghai"/>
    <m/>
    <n v="760"/>
    <n v="0"/>
    <s v="EMP-"/>
    <n v="18"/>
    <s v="Active"/>
  </r>
  <r>
    <s v="EMP-761"/>
    <x v="26"/>
    <s v="Sales"/>
    <s v="Research &amp; Development"/>
    <s v="Female"/>
    <n v="46"/>
    <s v="45-55"/>
    <d v="2021-01-17T00:00:00"/>
    <n v="72131"/>
    <n v="0"/>
    <n v="72131"/>
    <s v="China"/>
    <s v="Shanghai"/>
    <m/>
    <n v="761"/>
    <n v="0"/>
    <s v="EMP-"/>
    <n v="5"/>
    <s v="Active"/>
  </r>
  <r>
    <s v="EMP-762"/>
    <x v="6"/>
    <s v="Human Resources"/>
    <s v="Manufacturing"/>
    <s v="Male"/>
    <n v="64"/>
    <s v="55-65"/>
    <d v="1992-12-26T00:00:00"/>
    <n v="104668"/>
    <n v="0.08"/>
    <n v="113041.44"/>
    <s v="United States"/>
    <s v="Columbus"/>
    <m/>
    <n v="762"/>
    <n v="0"/>
    <s v="EMP-"/>
    <n v="33"/>
    <s v="Active"/>
  </r>
  <r>
    <s v="EMP-763"/>
    <x v="4"/>
    <s v="Sales"/>
    <s v="Manufacturing"/>
    <s v="Female"/>
    <n v="53"/>
    <s v="45-55"/>
    <d v="2017-08-05T00:00:00"/>
    <n v="89769"/>
    <n v="0"/>
    <n v="89769"/>
    <s v="United States"/>
    <s v="Seattle"/>
    <m/>
    <n v="763"/>
    <n v="0"/>
    <s v="EMP-"/>
    <n v="8"/>
    <s v="Active"/>
  </r>
  <r>
    <s v="EMP-764"/>
    <x v="6"/>
    <s v="Sales"/>
    <s v="Corporate"/>
    <s v="Female"/>
    <n v="27"/>
    <s v="25-35"/>
    <d v="2018-09-15T00:00:00"/>
    <n v="127616"/>
    <n v="7.0000000000000007E-2"/>
    <n v="136549.12"/>
    <s v="United States"/>
    <s v="Columbus"/>
    <m/>
    <n v="764"/>
    <n v="0"/>
    <s v="EMP-"/>
    <n v="7"/>
    <s v="Active"/>
  </r>
  <r>
    <s v="EMP-765"/>
    <x v="6"/>
    <s v="Human Resources"/>
    <s v="Corporate"/>
    <s v="Male"/>
    <n v="45"/>
    <s v="45-55"/>
    <d v="2012-07-09T00:00:00"/>
    <n v="109883"/>
    <n v="7.0000000000000007E-2"/>
    <n v="117574.81"/>
    <s v="United States"/>
    <s v="Columbus"/>
    <m/>
    <n v="765"/>
    <n v="0"/>
    <s v="EMP-"/>
    <n v="13"/>
    <s v="Active"/>
  </r>
  <r>
    <s v="EMP-766"/>
    <x v="20"/>
    <s v="Human Resources"/>
    <s v="Manufacturing"/>
    <s v="Female"/>
    <n v="25"/>
    <s v="25-35"/>
    <d v="2021-03-15T00:00:00"/>
    <n v="47974"/>
    <n v="0"/>
    <n v="47974"/>
    <s v="China"/>
    <s v="Chongqing"/>
    <m/>
    <n v="766"/>
    <n v="0"/>
    <s v="EMP-"/>
    <n v="5"/>
    <s v="Active"/>
  </r>
  <r>
    <s v="EMP-767"/>
    <x v="0"/>
    <s v="IT"/>
    <s v="Speciality Products"/>
    <s v="Female"/>
    <n v="43"/>
    <s v="35-45"/>
    <d v="2015-03-27T00:00:00"/>
    <n v="120321"/>
    <n v="0.12"/>
    <n v="134759.51999999999"/>
    <s v="United States"/>
    <s v="Austin"/>
    <m/>
    <n v="767"/>
    <n v="0"/>
    <s v="EMP-"/>
    <n v="10"/>
    <s v="Active"/>
  </r>
  <r>
    <s v="EMP-768"/>
    <x v="12"/>
    <s v="IT"/>
    <s v="Manufacturing"/>
    <s v="Female"/>
    <n v="61"/>
    <s v="55-65"/>
    <d v="2014-08-10T00:00:00"/>
    <n v="57446"/>
    <n v="0"/>
    <n v="57446"/>
    <s v="United States"/>
    <s v="Phoenix"/>
    <m/>
    <n v="768"/>
    <n v="0"/>
    <s v="EMP-"/>
    <n v="11"/>
    <s v="Active"/>
  </r>
  <r>
    <s v="EMP-769"/>
    <x v="2"/>
    <s v="Accounting"/>
    <s v="Research &amp; Development"/>
    <s v="Female"/>
    <n v="42"/>
    <s v="35-45"/>
    <d v="2009-06-04T00:00:00"/>
    <n v="174099"/>
    <n v="0.26"/>
    <n v="219364.74"/>
    <s v="United States"/>
    <s v="Austin"/>
    <m/>
    <n v="769"/>
    <n v="0"/>
    <s v="EMP-"/>
    <n v="16"/>
    <s v="Active"/>
  </r>
  <r>
    <s v="EMP-770"/>
    <x v="0"/>
    <s v="Finance"/>
    <s v="Manufacturing"/>
    <s v="Male"/>
    <n v="63"/>
    <s v="55-65"/>
    <d v="2002-02-08T00:00:00"/>
    <n v="128703"/>
    <n v="0.13"/>
    <n v="145434.39000000001"/>
    <s v="United States"/>
    <s v="Austin"/>
    <m/>
    <n v="770"/>
    <n v="0"/>
    <s v="EMP-"/>
    <n v="24"/>
    <s v="Active"/>
  </r>
  <r>
    <s v="EMP-771"/>
    <x v="17"/>
    <s v="Engineering"/>
    <s v="Corporate"/>
    <s v="Female"/>
    <n v="32"/>
    <s v="25-35"/>
    <d v="2015-11-09T00:00:00"/>
    <n v="65247"/>
    <n v="0"/>
    <n v="65247"/>
    <s v="United States"/>
    <s v="Phoenix"/>
    <m/>
    <n v="771"/>
    <n v="0"/>
    <s v="EMP-"/>
    <n v="10"/>
    <s v="Active"/>
  </r>
  <r>
    <s v="EMP-772"/>
    <x v="10"/>
    <s v="Engineering"/>
    <s v="Research &amp; Development"/>
    <s v="Male"/>
    <n v="27"/>
    <s v="25-35"/>
    <d v="2018-09-28T00:00:00"/>
    <n v="64247"/>
    <n v="0"/>
    <n v="64247"/>
    <s v="Brazil"/>
    <s v="Rio de Janerio"/>
    <m/>
    <n v="772"/>
    <n v="0"/>
    <s v="EMP-"/>
    <n v="7"/>
    <s v="Active"/>
  </r>
  <r>
    <s v="EMP-773"/>
    <x v="6"/>
    <s v="Human Resources"/>
    <s v="Research &amp; Development"/>
    <s v="Female"/>
    <n v="33"/>
    <s v="25-35"/>
    <d v="2012-06-11T00:00:00"/>
    <n v="118253"/>
    <n v="0.08"/>
    <n v="127713.24"/>
    <s v="United States"/>
    <s v="Austin"/>
    <m/>
    <n v="773"/>
    <n v="0"/>
    <s v="EMP-"/>
    <n v="13"/>
    <s v="Active"/>
  </r>
  <r>
    <s v="EMP-774"/>
    <x v="19"/>
    <s v="Engineering"/>
    <s v="Manufacturing"/>
    <s v="Female"/>
    <n v="45"/>
    <s v="45-55"/>
    <d v="2004-03-11T00:00:00"/>
    <n v="109422"/>
    <n v="0"/>
    <n v="109422"/>
    <s v="China"/>
    <s v="Chongqing"/>
    <m/>
    <n v="774"/>
    <n v="0"/>
    <s v="EMP-"/>
    <n v="22"/>
    <s v="Active"/>
  </r>
  <r>
    <s v="EMP-775"/>
    <x v="6"/>
    <s v="Human Resources"/>
    <s v="Corporate"/>
    <s v="Male"/>
    <n v="41"/>
    <s v="35-45"/>
    <d v="2019-02-06T00:00:00"/>
    <n v="126950"/>
    <n v="0.1"/>
    <n v="139645"/>
    <s v="United States"/>
    <s v="Chicago"/>
    <m/>
    <n v="775"/>
    <n v="0"/>
    <s v="EMP-"/>
    <n v="7"/>
    <s v="Active"/>
  </r>
  <r>
    <s v="EMP-776"/>
    <x v="14"/>
    <s v="IT"/>
    <s v="Manufacturing"/>
    <s v="Female"/>
    <n v="36"/>
    <s v="35-45"/>
    <d v="2014-11-21T00:00:00"/>
    <n v="97500"/>
    <n v="0"/>
    <n v="97500"/>
    <s v="United States"/>
    <s v="Miami"/>
    <m/>
    <n v="776"/>
    <n v="0"/>
    <s v="EMP-"/>
    <n v="11"/>
    <s v="Active"/>
  </r>
  <r>
    <s v="EMP-777"/>
    <x v="12"/>
    <s v="IT"/>
    <s v="Manufacturing"/>
    <s v="Male"/>
    <n v="25"/>
    <s v="25-35"/>
    <d v="2021-01-17T00:00:00"/>
    <n v="41844"/>
    <n v="0"/>
    <n v="41844"/>
    <s v="China"/>
    <s v="Chongqing"/>
    <m/>
    <n v="777"/>
    <n v="0"/>
    <s v="EMP-"/>
    <n v="5"/>
    <s v="Active"/>
  </r>
  <r>
    <s v="EMP-778"/>
    <x v="13"/>
    <s v="Accounting"/>
    <s v="Research &amp; Development"/>
    <s v="Male"/>
    <n v="43"/>
    <s v="35-45"/>
    <d v="2014-02-10T00:00:00"/>
    <n v="58875"/>
    <n v="0"/>
    <n v="58875"/>
    <s v="China"/>
    <s v="Chengdu"/>
    <m/>
    <n v="778"/>
    <n v="0"/>
    <s v="EMP-"/>
    <n v="12"/>
    <s v="Active"/>
  </r>
  <r>
    <s v="EMP-779"/>
    <x v="5"/>
    <s v="Sales"/>
    <s v="Manufacturing"/>
    <s v="Female"/>
    <n v="37"/>
    <s v="35-45"/>
    <d v="2015-11-10T00:00:00"/>
    <n v="64204"/>
    <n v="0"/>
    <n v="64204"/>
    <s v="United States"/>
    <s v="Columbus"/>
    <d v="2021-04-20T00:00:00"/>
    <n v="779"/>
    <n v="1"/>
    <s v="EMP-"/>
    <n v="5"/>
    <s v="Inactive"/>
  </r>
  <r>
    <s v="EMP-780"/>
    <x v="13"/>
    <s v="Sales"/>
    <s v="Corporate"/>
    <s v="Female"/>
    <n v="42"/>
    <s v="35-45"/>
    <d v="2010-05-09T00:00:00"/>
    <n v="67743"/>
    <n v="0"/>
    <n v="67743"/>
    <s v="China"/>
    <s v="Beijing"/>
    <d v="2014-12-25T00:00:00"/>
    <n v="780"/>
    <n v="1"/>
    <s v="EMP-"/>
    <n v="4"/>
    <s v="Inactive"/>
  </r>
  <r>
    <s v="EMP-781"/>
    <x v="26"/>
    <s v="Sales"/>
    <s v="Speciality Products"/>
    <s v="Female"/>
    <n v="60"/>
    <s v="55-65"/>
    <d v="1997-07-30T00:00:00"/>
    <n v="71677"/>
    <n v="0"/>
    <n v="71677"/>
    <s v="United States"/>
    <s v="Columbus"/>
    <m/>
    <n v="781"/>
    <n v="0"/>
    <s v="EMP-"/>
    <n v="28"/>
    <s v="Active"/>
  </r>
  <r>
    <s v="EMP-782"/>
    <x v="12"/>
    <s v="IT"/>
    <s v="Speciality Products"/>
    <s v="Male"/>
    <n v="61"/>
    <s v="55-65"/>
    <d v="2000-09-24T00:00:00"/>
    <n v="40063"/>
    <n v="0"/>
    <n v="40063"/>
    <s v="United States"/>
    <s v="Miami"/>
    <m/>
    <n v="782"/>
    <n v="0"/>
    <s v="EMP-"/>
    <n v="25"/>
    <s v="Active"/>
  </r>
  <r>
    <s v="EMP-783"/>
    <x v="12"/>
    <s v="IT"/>
    <s v="Manufacturing"/>
    <s v="Female"/>
    <n v="55"/>
    <s v="55-65"/>
    <d v="2004-04-30T00:00:00"/>
    <n v="40124"/>
    <n v="0"/>
    <n v="40124"/>
    <s v="United States"/>
    <s v="Austin"/>
    <m/>
    <n v="783"/>
    <n v="0"/>
    <s v="EMP-"/>
    <n v="21"/>
    <s v="Active"/>
  </r>
  <r>
    <s v="EMP-784"/>
    <x v="18"/>
    <s v="Engineering"/>
    <s v="Manufacturing"/>
    <s v="Male"/>
    <n v="57"/>
    <s v="55-65"/>
    <d v="2018-02-26T00:00:00"/>
    <n v="103183"/>
    <n v="0"/>
    <n v="103183"/>
    <s v="United States"/>
    <s v="Austin"/>
    <d v="2021-07-09T00:00:00"/>
    <n v="784"/>
    <n v="1"/>
    <s v="EMP-"/>
    <n v="3"/>
    <s v="Inactive"/>
  </r>
  <r>
    <s v="EMP-785"/>
    <x v="27"/>
    <s v="IT"/>
    <s v="Corporate"/>
    <s v="Male"/>
    <n v="54"/>
    <s v="45-55"/>
    <d v="1998-06-15T00:00:00"/>
    <n v="95239"/>
    <n v="0"/>
    <n v="95239"/>
    <s v="United States"/>
    <s v="Phoenix"/>
    <m/>
    <n v="785"/>
    <n v="0"/>
    <s v="EMP-"/>
    <n v="27"/>
    <s v="Active"/>
  </r>
  <r>
    <s v="EMP-786"/>
    <x v="25"/>
    <s v="Engineering"/>
    <s v="Manufacturing"/>
    <s v="Female"/>
    <n v="29"/>
    <s v="25-35"/>
    <d v="2019-11-09T00:00:00"/>
    <n v="75012"/>
    <n v="0"/>
    <n v="75012"/>
    <s v="United States"/>
    <s v="Chicago"/>
    <m/>
    <n v="786"/>
    <n v="0"/>
    <s v="EMP-"/>
    <n v="6"/>
    <s v="Active"/>
  </r>
  <r>
    <s v="EMP-787"/>
    <x v="23"/>
    <s v="IT"/>
    <s v="Manufacturing"/>
    <s v="Female"/>
    <n v="33"/>
    <s v="25-35"/>
    <d v="2014-06-29T00:00:00"/>
    <n v="96366"/>
    <n v="0"/>
    <n v="96366"/>
    <s v="China"/>
    <s v="Chengdu"/>
    <m/>
    <n v="787"/>
    <n v="0"/>
    <s v="EMP-"/>
    <n v="11"/>
    <s v="Active"/>
  </r>
  <r>
    <s v="EMP-788"/>
    <x v="7"/>
    <s v="Marketing"/>
    <s v="Corporate"/>
    <s v="Female"/>
    <n v="39"/>
    <s v="35-45"/>
    <d v="2014-07-29T00:00:00"/>
    <n v="40897"/>
    <n v="0"/>
    <n v="40897"/>
    <s v="United States"/>
    <s v="Seattle"/>
    <m/>
    <n v="788"/>
    <n v="0"/>
    <s v="EMP-"/>
    <n v="11"/>
    <s v="Active"/>
  </r>
  <r>
    <s v="EMP-789"/>
    <x v="6"/>
    <s v="Finance"/>
    <s v="Research &amp; Development"/>
    <s v="Female"/>
    <n v="37"/>
    <s v="35-45"/>
    <d v="2016-08-23T00:00:00"/>
    <n v="124928"/>
    <n v="0.06"/>
    <n v="132423.67999999999"/>
    <s v="China"/>
    <s v="Chongqing"/>
    <m/>
    <n v="789"/>
    <n v="0"/>
    <s v="EMP-"/>
    <n v="9"/>
    <s v="Active"/>
  </r>
  <r>
    <s v="EMP-790"/>
    <x v="6"/>
    <s v="Finance"/>
    <s v="Speciality Products"/>
    <s v="Female"/>
    <n v="51"/>
    <s v="45-55"/>
    <d v="2013-06-14T00:00:00"/>
    <n v="108221"/>
    <n v="0.05"/>
    <n v="113632.05"/>
    <s v="Brazil"/>
    <s v="Manaus"/>
    <m/>
    <n v="790"/>
    <n v="0"/>
    <s v="EMP-"/>
    <n v="12"/>
    <s v="Active"/>
  </r>
  <r>
    <s v="EMP-791"/>
    <x v="15"/>
    <s v="Human Resources"/>
    <s v="Corporate"/>
    <s v="Male"/>
    <n v="46"/>
    <s v="45-55"/>
    <d v="2007-02-20T00:00:00"/>
    <n v="75579"/>
    <n v="0"/>
    <n v="75579"/>
    <s v="United States"/>
    <s v="Seattle"/>
    <m/>
    <n v="791"/>
    <n v="0"/>
    <s v="EMP-"/>
    <n v="19"/>
    <s v="Active"/>
  </r>
  <r>
    <s v="EMP-792"/>
    <x v="0"/>
    <s v="Human Resources"/>
    <s v="Manufacturing"/>
    <s v="Male"/>
    <n v="41"/>
    <s v="35-45"/>
    <d v="2015-12-27T00:00:00"/>
    <n v="129903"/>
    <n v="0.13"/>
    <n v="146790.39000000001"/>
    <s v="Brazil"/>
    <s v="Sao Paulo"/>
    <m/>
    <n v="792"/>
    <n v="0"/>
    <s v="EMP-"/>
    <n v="10"/>
    <s v="Active"/>
  </r>
  <r>
    <s v="EMP-793"/>
    <x v="2"/>
    <s v="Finance"/>
    <s v="Research &amp; Development"/>
    <s v="Female"/>
    <n v="25"/>
    <s v="25-35"/>
    <d v="2021-04-17T00:00:00"/>
    <n v="186870"/>
    <n v="0.2"/>
    <n v="224244"/>
    <s v="China"/>
    <s v="Shanghai"/>
    <m/>
    <n v="793"/>
    <n v="0"/>
    <s v="EMP-"/>
    <n v="4"/>
    <s v="Active"/>
  </r>
  <r>
    <s v="EMP-794"/>
    <x v="13"/>
    <s v="Sales"/>
    <s v="Research &amp; Development"/>
    <s v="Male"/>
    <n v="37"/>
    <s v="35-45"/>
    <d v="2010-04-23T00:00:00"/>
    <n v="57531"/>
    <n v="0"/>
    <n v="57531"/>
    <s v="United States"/>
    <s v="Chicago"/>
    <m/>
    <n v="794"/>
    <n v="0"/>
    <s v="EMP-"/>
    <n v="15"/>
    <s v="Active"/>
  </r>
  <r>
    <s v="EMP-795"/>
    <x v="7"/>
    <s v="Finance"/>
    <s v="Research &amp; Development"/>
    <s v="Male"/>
    <n v="46"/>
    <s v="45-55"/>
    <d v="2011-04-24T00:00:00"/>
    <n v="55894"/>
    <n v="0"/>
    <n v="55894"/>
    <s v="United States"/>
    <s v="Seattle"/>
    <m/>
    <n v="795"/>
    <n v="0"/>
    <s v="EMP-"/>
    <n v="14"/>
    <s v="Active"/>
  </r>
  <r>
    <s v="EMP-796"/>
    <x v="17"/>
    <s v="Engineering"/>
    <s v="Manufacturing"/>
    <s v="Female"/>
    <n v="42"/>
    <s v="35-45"/>
    <d v="2012-04-27T00:00:00"/>
    <n v="72903"/>
    <n v="0"/>
    <n v="72903"/>
    <s v="United States"/>
    <s v="Phoenix"/>
    <m/>
    <n v="796"/>
    <n v="0"/>
    <s v="EMP-"/>
    <n v="13"/>
    <s v="Active"/>
  </r>
  <r>
    <s v="EMP-797"/>
    <x v="7"/>
    <s v="Finance"/>
    <s v="Corporate"/>
    <s v="Male"/>
    <n v="37"/>
    <s v="35-45"/>
    <d v="2015-11-09T00:00:00"/>
    <n v="45369"/>
    <n v="0"/>
    <n v="45369"/>
    <s v="China"/>
    <s v="Beijing"/>
    <m/>
    <n v="797"/>
    <n v="0"/>
    <s v="EMP-"/>
    <n v="10"/>
    <s v="Active"/>
  </r>
  <r>
    <s v="EMP-798"/>
    <x v="6"/>
    <s v="Finance"/>
    <s v="Speciality Products"/>
    <s v="Male"/>
    <n v="60"/>
    <s v="55-65"/>
    <d v="2010-06-15T00:00:00"/>
    <n v="106578"/>
    <n v="0.09"/>
    <n v="116170.02"/>
    <s v="United States"/>
    <s v="Miami"/>
    <m/>
    <n v="798"/>
    <n v="0"/>
    <s v="EMP-"/>
    <n v="15"/>
    <s v="Active"/>
  </r>
  <r>
    <s v="EMP-799"/>
    <x v="15"/>
    <s v="Human Resources"/>
    <s v="Research &amp; Development"/>
    <s v="Female"/>
    <n v="52"/>
    <s v="45-55"/>
    <d v="1999-09-13T00:00:00"/>
    <n v="92994"/>
    <n v="0"/>
    <n v="92994"/>
    <s v="United States"/>
    <s v="Chicago"/>
    <m/>
    <n v="799"/>
    <n v="0"/>
    <s v="EMP-"/>
    <n v="26"/>
    <s v="Active"/>
  </r>
  <r>
    <s v="EMP-800"/>
    <x v="4"/>
    <s v="Sales"/>
    <s v="Speciality Products"/>
    <s v="Male"/>
    <n v="59"/>
    <s v="55-65"/>
    <d v="1997-03-13T00:00:00"/>
    <n v="83685"/>
    <n v="0"/>
    <n v="83685"/>
    <s v="China"/>
    <s v="Beijing"/>
    <m/>
    <n v="800"/>
    <n v="0"/>
    <s v="EMP-"/>
    <n v="29"/>
    <s v="Active"/>
  </r>
  <r>
    <s v="EMP-801"/>
    <x v="21"/>
    <s v="IT"/>
    <s v="Research &amp; Development"/>
    <s v="Male"/>
    <n v="48"/>
    <s v="45-55"/>
    <d v="2010-09-14T00:00:00"/>
    <n v="99335"/>
    <n v="0"/>
    <n v="99335"/>
    <s v="United States"/>
    <s v="Phoenix"/>
    <m/>
    <n v="801"/>
    <n v="0"/>
    <s v="EMP-"/>
    <n v="15"/>
    <s v="Active"/>
  </r>
  <r>
    <s v="EMP-802"/>
    <x v="0"/>
    <s v="Human Resources"/>
    <s v="Manufacturing"/>
    <s v="Male"/>
    <n v="42"/>
    <s v="35-45"/>
    <d v="2013-04-18T00:00:00"/>
    <n v="131179"/>
    <n v="0.15"/>
    <n v="150855.85"/>
    <s v="United States"/>
    <s v="Columbus"/>
    <m/>
    <n v="802"/>
    <n v="0"/>
    <s v="EMP-"/>
    <n v="12"/>
    <s v="Active"/>
  </r>
  <r>
    <s v="EMP-803"/>
    <x v="3"/>
    <s v="IT"/>
    <s v="Speciality Products"/>
    <s v="Male"/>
    <n v="35"/>
    <s v="35-45"/>
    <d v="2016-05-03T00:00:00"/>
    <n v="73899"/>
    <n v="0.05"/>
    <n v="77593.95"/>
    <s v="China"/>
    <s v="Chengdu"/>
    <m/>
    <n v="803"/>
    <n v="0"/>
    <s v="EMP-"/>
    <n v="9"/>
    <s v="Active"/>
  </r>
  <r>
    <s v="EMP-804"/>
    <x v="9"/>
    <s v="Accounting"/>
    <s v="Manufacturing"/>
    <s v="Male"/>
    <n v="64"/>
    <s v="55-65"/>
    <d v="2013-03-29T00:00:00"/>
    <n v="252325"/>
    <n v="0.4"/>
    <n v="353255"/>
    <s v="United States"/>
    <s v="Columbus"/>
    <m/>
    <n v="804"/>
    <n v="0"/>
    <s v="EMP-"/>
    <n v="12"/>
    <s v="Active"/>
  </r>
  <r>
    <s v="EMP-805"/>
    <x v="13"/>
    <s v="Finance"/>
    <s v="Research &amp; Development"/>
    <s v="Female"/>
    <n v="30"/>
    <s v="25-35"/>
    <d v="2015-03-05T00:00:00"/>
    <n v="52697"/>
    <n v="0"/>
    <n v="52697"/>
    <s v="United States"/>
    <s v="Seattle"/>
    <m/>
    <n v="805"/>
    <n v="0"/>
    <s v="EMP-"/>
    <n v="11"/>
    <s v="Active"/>
  </r>
  <r>
    <s v="EMP-806"/>
    <x v="19"/>
    <s v="Engineering"/>
    <s v="Speciality Products"/>
    <s v="Female"/>
    <n v="29"/>
    <s v="25-35"/>
    <d v="2020-09-25T00:00:00"/>
    <n v="123588"/>
    <n v="0"/>
    <n v="123588"/>
    <s v="Brazil"/>
    <s v="Sao Paulo"/>
    <m/>
    <n v="806"/>
    <n v="0"/>
    <s v="EMP-"/>
    <n v="5"/>
    <s v="Active"/>
  </r>
  <r>
    <s v="EMP-807"/>
    <x v="9"/>
    <s v="Accounting"/>
    <s v="Corporate"/>
    <s v="Female"/>
    <n v="47"/>
    <s v="45-55"/>
    <d v="2021-12-26T00:00:00"/>
    <n v="243568"/>
    <n v="0.33"/>
    <n v="323945.44"/>
    <s v="United States"/>
    <s v="Austin"/>
    <m/>
    <n v="807"/>
    <n v="0"/>
    <s v="EMP-"/>
    <n v="4"/>
    <s v="Active"/>
  </r>
  <r>
    <s v="EMP-808"/>
    <x v="2"/>
    <s v="Sales"/>
    <s v="Research &amp; Development"/>
    <s v="Male"/>
    <n v="49"/>
    <s v="45-55"/>
    <d v="2001-07-20T00:00:00"/>
    <n v="199176"/>
    <n v="0.24"/>
    <n v="246978.24"/>
    <s v="United States"/>
    <s v="Phoenix"/>
    <m/>
    <n v="808"/>
    <n v="0"/>
    <s v="EMP-"/>
    <n v="24"/>
    <s v="Active"/>
  </r>
  <r>
    <s v="EMP-809"/>
    <x v="1"/>
    <s v="IT"/>
    <s v="Speciality Products"/>
    <s v="Female"/>
    <n v="56"/>
    <s v="55-65"/>
    <d v="1996-06-22T00:00:00"/>
    <n v="82806"/>
    <n v="0"/>
    <n v="82806"/>
    <s v="United States"/>
    <s v="Seattle"/>
    <m/>
    <n v="809"/>
    <n v="0"/>
    <s v="EMP-"/>
    <n v="29"/>
    <s v="Active"/>
  </r>
  <r>
    <s v="EMP-810"/>
    <x v="2"/>
    <s v="Marketing"/>
    <s v="Speciality Products"/>
    <s v="Female"/>
    <n v="53"/>
    <s v="45-55"/>
    <d v="1997-06-20T00:00:00"/>
    <n v="164399"/>
    <n v="0.25"/>
    <n v="205498.75"/>
    <s v="United States"/>
    <s v="Seattle"/>
    <m/>
    <n v="810"/>
    <n v="0"/>
    <s v="EMP-"/>
    <n v="28"/>
    <s v="Active"/>
  </r>
  <r>
    <s v="EMP-811"/>
    <x v="0"/>
    <s v="Human Resources"/>
    <s v="Manufacturing"/>
    <s v="Female"/>
    <n v="32"/>
    <s v="25-35"/>
    <d v="2017-04-14T00:00:00"/>
    <n v="154956"/>
    <n v="0.13"/>
    <n v="175100.28"/>
    <s v="United States"/>
    <s v="Phoenix"/>
    <m/>
    <n v="811"/>
    <n v="0"/>
    <s v="EMP-"/>
    <n v="8"/>
    <s v="Active"/>
  </r>
  <r>
    <s v="EMP-812"/>
    <x v="0"/>
    <s v="Marketing"/>
    <s v="Manufacturing"/>
    <s v="Male"/>
    <n v="32"/>
    <s v="25-35"/>
    <d v="2017-01-29T00:00:00"/>
    <n v="143970"/>
    <n v="0.12"/>
    <n v="161246.39999999999"/>
    <s v="United States"/>
    <s v="Seattle"/>
    <d v="2017-12-09T00:00:00"/>
    <n v="812"/>
    <n v="1"/>
    <s v="EMP-"/>
    <n v="0"/>
    <s v="Inactive"/>
  </r>
  <r>
    <s v="EMP-813"/>
    <x v="2"/>
    <s v="Sales"/>
    <s v="Corporate"/>
    <s v="Male"/>
    <n v="52"/>
    <s v="45-55"/>
    <d v="2020-09-25T00:00:00"/>
    <n v="163143"/>
    <n v="0.28000000000000003"/>
    <n v="208823.04000000001"/>
    <s v="Brazil"/>
    <s v="Sao Paulo"/>
    <m/>
    <n v="813"/>
    <n v="0"/>
    <s v="EMP-"/>
    <n v="5"/>
    <s v="Active"/>
  </r>
  <r>
    <s v="EMP-814"/>
    <x v="4"/>
    <s v="Accounting"/>
    <s v="Speciality Products"/>
    <s v="Female"/>
    <n v="38"/>
    <s v="35-45"/>
    <d v="2020-07-24T00:00:00"/>
    <n v="89390"/>
    <n v="0"/>
    <n v="89390"/>
    <s v="United States"/>
    <s v="Seattle"/>
    <m/>
    <n v="814"/>
    <n v="0"/>
    <s v="EMP-"/>
    <n v="5"/>
    <s v="Active"/>
  </r>
  <r>
    <s v="EMP-815"/>
    <x v="23"/>
    <s v="IT"/>
    <s v="Manufacturing"/>
    <s v="Male"/>
    <n v="41"/>
    <s v="35-45"/>
    <d v="2017-10-05T00:00:00"/>
    <n v="67468"/>
    <n v="0"/>
    <n v="67468"/>
    <s v="United States"/>
    <s v="Miami"/>
    <m/>
    <n v="815"/>
    <n v="0"/>
    <s v="EMP-"/>
    <n v="8"/>
    <s v="Active"/>
  </r>
  <r>
    <s v="EMP-816"/>
    <x v="11"/>
    <s v="Engineering"/>
    <s v="Manufacturing"/>
    <s v="Female"/>
    <n v="49"/>
    <s v="45-55"/>
    <d v="2016-03-12T00:00:00"/>
    <n v="100810"/>
    <n v="0.12"/>
    <n v="112907.2"/>
    <s v="Brazil"/>
    <s v="Rio de Janerio"/>
    <m/>
    <n v="816"/>
    <n v="0"/>
    <s v="EMP-"/>
    <n v="10"/>
    <s v="Active"/>
  </r>
  <r>
    <s v="EMP-817"/>
    <x v="4"/>
    <s v="Finance"/>
    <s v="Manufacturing"/>
    <s v="Female"/>
    <n v="35"/>
    <s v="35-45"/>
    <d v="2019-03-18T00:00:00"/>
    <n v="74779"/>
    <n v="0"/>
    <n v="74779"/>
    <s v="United States"/>
    <s v="Phoenix"/>
    <m/>
    <n v="817"/>
    <n v="0"/>
    <s v="EMP-"/>
    <n v="6"/>
    <s v="Active"/>
  </r>
  <r>
    <s v="EMP-818"/>
    <x v="24"/>
    <s v="IT"/>
    <s v="Corporate"/>
    <s v="Female"/>
    <n v="29"/>
    <s v="25-35"/>
    <d v="2017-11-09T00:00:00"/>
    <n v="63985"/>
    <n v="0"/>
    <n v="63985"/>
    <s v="United States"/>
    <s v="Miami"/>
    <m/>
    <n v="818"/>
    <n v="0"/>
    <s v="EMP-"/>
    <n v="8"/>
    <s v="Active"/>
  </r>
  <r>
    <s v="EMP-819"/>
    <x v="29"/>
    <s v="IT"/>
    <s v="Manufacturing"/>
    <s v="Female"/>
    <n v="64"/>
    <s v="55-65"/>
    <d v="2004-07-08T00:00:00"/>
    <n v="77903"/>
    <n v="0"/>
    <n v="77903"/>
    <s v="United States"/>
    <s v="Seattle"/>
    <m/>
    <n v="819"/>
    <n v="0"/>
    <s v="EMP-"/>
    <n v="21"/>
    <s v="Active"/>
  </r>
  <r>
    <s v="EMP-820"/>
    <x v="2"/>
    <s v="Marketing"/>
    <s v="Corporate"/>
    <s v="Male"/>
    <n v="33"/>
    <s v="25-35"/>
    <d v="2017-06-12T00:00:00"/>
    <n v="164396"/>
    <n v="0.28999999999999998"/>
    <n v="212070.84"/>
    <s v="United States"/>
    <s v="Columbus"/>
    <m/>
    <n v="820"/>
    <n v="0"/>
    <s v="EMP-"/>
    <n v="8"/>
    <s v="Active"/>
  </r>
  <r>
    <s v="EMP-821"/>
    <x v="30"/>
    <s v="IT"/>
    <s v="Corporate"/>
    <s v="Male"/>
    <n v="29"/>
    <s v="25-35"/>
    <d v="2021-06-28T00:00:00"/>
    <n v="71234"/>
    <n v="0"/>
    <n v="71234"/>
    <s v="United States"/>
    <s v="Seattle"/>
    <m/>
    <n v="821"/>
    <n v="0"/>
    <s v="EMP-"/>
    <n v="4"/>
    <s v="Active"/>
  </r>
  <r>
    <s v="EMP-822"/>
    <x v="6"/>
    <s v="Finance"/>
    <s v="Corporate"/>
    <s v="Male"/>
    <n v="63"/>
    <s v="55-65"/>
    <d v="2004-04-19T00:00:00"/>
    <n v="122487"/>
    <n v="0.08"/>
    <n v="132285.96"/>
    <s v="China"/>
    <s v="Shanghai"/>
    <m/>
    <n v="822"/>
    <n v="0"/>
    <s v="EMP-"/>
    <n v="21"/>
    <s v="Active"/>
  </r>
  <r>
    <s v="EMP-823"/>
    <x v="6"/>
    <s v="Human Resources"/>
    <s v="Speciality Products"/>
    <s v="Female"/>
    <n v="32"/>
    <s v="25-35"/>
    <d v="2017-01-03T00:00:00"/>
    <n v="101870"/>
    <n v="0.1"/>
    <n v="112057"/>
    <s v="United States"/>
    <s v="Phoenix"/>
    <m/>
    <n v="823"/>
    <n v="0"/>
    <s v="EMP-"/>
    <n v="9"/>
    <s v="Active"/>
  </r>
  <r>
    <s v="EMP-824"/>
    <x v="28"/>
    <s v="IT"/>
    <s v="Research &amp; Development"/>
    <s v="Male"/>
    <n v="64"/>
    <s v="55-65"/>
    <d v="2020-06-27T00:00:00"/>
    <n v="40316"/>
    <n v="0"/>
    <n v="40316"/>
    <s v="Brazil"/>
    <s v="Manaus"/>
    <m/>
    <n v="824"/>
    <n v="0"/>
    <s v="EMP-"/>
    <n v="5"/>
    <s v="Active"/>
  </r>
  <r>
    <s v="EMP-825"/>
    <x v="6"/>
    <s v="IT"/>
    <s v="Research &amp; Development"/>
    <s v="Female"/>
    <n v="55"/>
    <s v="55-65"/>
    <d v="2005-02-08T00:00:00"/>
    <n v="115145"/>
    <n v="0.05"/>
    <n v="120902.25"/>
    <s v="China"/>
    <s v="Chongqing"/>
    <m/>
    <n v="825"/>
    <n v="0"/>
    <s v="EMP-"/>
    <n v="21"/>
    <s v="Active"/>
  </r>
  <r>
    <s v="EMP-826"/>
    <x v="21"/>
    <s v="IT"/>
    <s v="Manufacturing"/>
    <s v="Female"/>
    <n v="43"/>
    <s v="35-45"/>
    <d v="2009-03-13T00:00:00"/>
    <n v="62335"/>
    <n v="0"/>
    <n v="62335"/>
    <s v="Brazil"/>
    <s v="Manaus"/>
    <m/>
    <n v="826"/>
    <n v="0"/>
    <s v="EMP-"/>
    <n v="17"/>
    <s v="Active"/>
  </r>
  <r>
    <s v="EMP-827"/>
    <x v="7"/>
    <s v="Finance"/>
    <s v="Manufacturing"/>
    <s v="Male"/>
    <n v="56"/>
    <s v="55-65"/>
    <d v="2006-05-10T00:00:00"/>
    <n v="41561"/>
    <n v="0"/>
    <n v="41561"/>
    <s v="United States"/>
    <s v="Austin"/>
    <m/>
    <n v="827"/>
    <n v="0"/>
    <s v="EMP-"/>
    <n v="19"/>
    <s v="Active"/>
  </r>
  <r>
    <s v="EMP-828"/>
    <x v="0"/>
    <s v="Finance"/>
    <s v="Speciality Products"/>
    <s v="Female"/>
    <n v="37"/>
    <s v="35-45"/>
    <d v="2011-04-24T00:00:00"/>
    <n v="131183"/>
    <n v="0.14000000000000001"/>
    <n v="149548.62"/>
    <s v="China"/>
    <s v="Shanghai"/>
    <d v="2016-03-16T00:00:00"/>
    <n v="828"/>
    <n v="1"/>
    <s v="EMP-"/>
    <n v="4"/>
    <s v="Inactive"/>
  </r>
  <r>
    <s v="EMP-829"/>
    <x v="1"/>
    <s v="IT"/>
    <s v="Manufacturing"/>
    <s v="Female"/>
    <n v="45"/>
    <s v="45-55"/>
    <d v="2002-07-08T00:00:00"/>
    <n v="92655"/>
    <n v="0"/>
    <n v="92655"/>
    <s v="China"/>
    <s v="Chengdu"/>
    <m/>
    <n v="829"/>
    <n v="0"/>
    <s v="EMP-"/>
    <n v="23"/>
    <s v="Active"/>
  </r>
  <r>
    <s v="EMP-830"/>
    <x v="0"/>
    <s v="Sales"/>
    <s v="Manufacturing"/>
    <s v="Female"/>
    <n v="49"/>
    <s v="45-55"/>
    <d v="1996-04-02T00:00:00"/>
    <n v="157057"/>
    <n v="0.12"/>
    <n v="175903.84"/>
    <s v="United States"/>
    <s v="Miami"/>
    <m/>
    <n v="830"/>
    <n v="0"/>
    <s v="EMP-"/>
    <n v="29"/>
    <s v="Active"/>
  </r>
  <r>
    <s v="EMP-831"/>
    <x v="14"/>
    <s v="IT"/>
    <s v="Speciality Products"/>
    <s v="Female"/>
    <n v="61"/>
    <s v="55-65"/>
    <d v="2005-02-09T00:00:00"/>
    <n v="64462"/>
    <n v="0"/>
    <n v="64462"/>
    <s v="United States"/>
    <s v="Chicago"/>
    <m/>
    <n v="831"/>
    <n v="0"/>
    <s v="EMP-"/>
    <n v="21"/>
    <s v="Active"/>
  </r>
  <r>
    <s v="EMP-832"/>
    <x v="10"/>
    <s v="Engineering"/>
    <s v="Corporate"/>
    <s v="Female"/>
    <n v="41"/>
    <s v="35-45"/>
    <d v="2005-10-07T00:00:00"/>
    <n v="79352"/>
    <n v="0"/>
    <n v="79352"/>
    <s v="United States"/>
    <s v="Seattle"/>
    <m/>
    <n v="832"/>
    <n v="0"/>
    <s v="EMP-"/>
    <n v="20"/>
    <s v="Active"/>
  </r>
  <r>
    <s v="EMP-833"/>
    <x v="0"/>
    <s v="Marketing"/>
    <s v="Speciality Products"/>
    <s v="Female"/>
    <n v="55"/>
    <s v="55-65"/>
    <d v="2001-03-27T00:00:00"/>
    <n v="157812"/>
    <n v="0.11"/>
    <n v="175171.32"/>
    <s v="United States"/>
    <s v="Miami"/>
    <m/>
    <n v="833"/>
    <n v="0"/>
    <s v="EMP-"/>
    <n v="24"/>
    <s v="Active"/>
  </r>
  <r>
    <s v="EMP-834"/>
    <x v="10"/>
    <s v="Engineering"/>
    <s v="Corporate"/>
    <s v="Male"/>
    <n v="27"/>
    <s v="25-35"/>
    <d v="2018-09-11T00:00:00"/>
    <n v="80745"/>
    <n v="0"/>
    <n v="80745"/>
    <s v="United States"/>
    <s v="Chicago"/>
    <m/>
    <n v="834"/>
    <n v="0"/>
    <s v="EMP-"/>
    <n v="7"/>
    <s v="Active"/>
  </r>
  <r>
    <s v="EMP-835"/>
    <x v="27"/>
    <s v="IT"/>
    <s v="Manufacturing"/>
    <s v="Female"/>
    <n v="57"/>
    <s v="55-65"/>
    <d v="1996-02-18T00:00:00"/>
    <n v="75354"/>
    <n v="0"/>
    <n v="75354"/>
    <s v="United States"/>
    <s v="Austin"/>
    <d v="1996-12-14T00:00:00"/>
    <n v="835"/>
    <n v="1"/>
    <s v="EMP-"/>
    <n v="0"/>
    <s v="Inactive"/>
  </r>
  <r>
    <s v="EMP-836"/>
    <x v="11"/>
    <s v="Engineering"/>
    <s v="Research &amp; Development"/>
    <s v="Male"/>
    <n v="56"/>
    <s v="55-65"/>
    <d v="2018-09-20T00:00:00"/>
    <n v="78938"/>
    <n v="0.14000000000000001"/>
    <n v="89989.32"/>
    <s v="United States"/>
    <s v="Phoenix"/>
    <m/>
    <n v="836"/>
    <n v="0"/>
    <s v="EMP-"/>
    <n v="7"/>
    <s v="Active"/>
  </r>
  <r>
    <s v="EMP-837"/>
    <x v="19"/>
    <s v="Engineering"/>
    <s v="Corporate"/>
    <s v="Male"/>
    <n v="59"/>
    <s v="55-65"/>
    <d v="2008-09-10T00:00:00"/>
    <n v="96313"/>
    <n v="0"/>
    <n v="96313"/>
    <s v="United States"/>
    <s v="Austin"/>
    <m/>
    <n v="837"/>
    <n v="0"/>
    <s v="EMP-"/>
    <n v="17"/>
    <s v="Active"/>
  </r>
  <r>
    <s v="EMP-838"/>
    <x v="2"/>
    <s v="Engineering"/>
    <s v="Speciality Products"/>
    <s v="Male"/>
    <n v="45"/>
    <s v="45-55"/>
    <d v="2010-11-29T00:00:00"/>
    <n v="153767"/>
    <n v="0.27"/>
    <n v="195284.09"/>
    <s v="United States"/>
    <s v="Phoenix"/>
    <m/>
    <n v="838"/>
    <n v="0"/>
    <s v="EMP-"/>
    <n v="15"/>
    <s v="Active"/>
  </r>
  <r>
    <s v="EMP-839"/>
    <x v="6"/>
    <s v="Marketing"/>
    <s v="Research &amp; Development"/>
    <s v="Female"/>
    <n v="42"/>
    <s v="35-45"/>
    <d v="2015-09-19T00:00:00"/>
    <n v="103423"/>
    <n v="0.06"/>
    <n v="109628.38"/>
    <s v="United States"/>
    <s v="Columbus"/>
    <m/>
    <n v="839"/>
    <n v="0"/>
    <s v="EMP-"/>
    <n v="10"/>
    <s v="Active"/>
  </r>
  <r>
    <s v="EMP-840"/>
    <x v="8"/>
    <s v="Engineering"/>
    <s v="Corporate"/>
    <s v="Female"/>
    <n v="25"/>
    <s v="25-35"/>
    <d v="2021-06-23T00:00:00"/>
    <n v="86464"/>
    <n v="0"/>
    <n v="86464"/>
    <s v="China"/>
    <s v="Shanghai"/>
    <m/>
    <n v="840"/>
    <n v="0"/>
    <s v="EMP-"/>
    <n v="4"/>
    <s v="Active"/>
  </r>
  <r>
    <s v="EMP-841"/>
    <x v="8"/>
    <s v="Engineering"/>
    <s v="Corporate"/>
    <s v="Female"/>
    <n v="29"/>
    <s v="25-35"/>
    <d v="2018-01-14T00:00:00"/>
    <n v="80516"/>
    <n v="0"/>
    <n v="80516"/>
    <s v="Brazil"/>
    <s v="Sao Paulo"/>
    <m/>
    <n v="841"/>
    <n v="0"/>
    <s v="EMP-"/>
    <n v="8"/>
    <s v="Active"/>
  </r>
  <r>
    <s v="EMP-842"/>
    <x v="6"/>
    <s v="Human Resources"/>
    <s v="Speciality Products"/>
    <s v="Female"/>
    <n v="33"/>
    <s v="25-35"/>
    <d v="2013-08-21T00:00:00"/>
    <n v="105390"/>
    <n v="0.06"/>
    <n v="111713.4"/>
    <s v="United States"/>
    <s v="Columbus"/>
    <m/>
    <n v="842"/>
    <n v="0"/>
    <s v="EMP-"/>
    <n v="12"/>
    <s v="Active"/>
  </r>
  <r>
    <s v="EMP-843"/>
    <x v="21"/>
    <s v="IT"/>
    <s v="Manufacturing"/>
    <s v="Female"/>
    <n v="50"/>
    <s v="45-55"/>
    <d v="2021-09-06T00:00:00"/>
    <n v="83418"/>
    <n v="0"/>
    <n v="83418"/>
    <s v="China"/>
    <s v="Shanghai"/>
    <m/>
    <n v="843"/>
    <n v="0"/>
    <s v="EMP-"/>
    <n v="4"/>
    <s v="Active"/>
  </r>
  <r>
    <s v="EMP-844"/>
    <x v="29"/>
    <s v="IT"/>
    <s v="Speciality Products"/>
    <s v="Female"/>
    <n v="45"/>
    <s v="45-55"/>
    <d v="2017-11-03T00:00:00"/>
    <n v="66660"/>
    <n v="0"/>
    <n v="66660"/>
    <s v="United States"/>
    <s v="Austin"/>
    <m/>
    <n v="844"/>
    <n v="0"/>
    <s v="EMP-"/>
    <n v="8"/>
    <s v="Active"/>
  </r>
  <r>
    <s v="EMP-845"/>
    <x v="6"/>
    <s v="Human Resources"/>
    <s v="Speciality Products"/>
    <s v="Male"/>
    <n v="59"/>
    <s v="55-65"/>
    <d v="2015-06-10T00:00:00"/>
    <n v="101985"/>
    <n v="7.0000000000000007E-2"/>
    <n v="109123.95"/>
    <s v="United States"/>
    <s v="Miami"/>
    <m/>
    <n v="845"/>
    <n v="0"/>
    <s v="EMP-"/>
    <n v="10"/>
    <s v="Active"/>
  </r>
  <r>
    <s v="EMP-846"/>
    <x v="9"/>
    <s v="Finance"/>
    <s v="Corporate"/>
    <s v="Male"/>
    <n v="29"/>
    <s v="25-35"/>
    <d v="2018-12-05T00:00:00"/>
    <n v="199504"/>
    <n v="0.3"/>
    <n v="259355.2"/>
    <s v="United States"/>
    <s v="Austin"/>
    <m/>
    <n v="846"/>
    <n v="0"/>
    <s v="EMP-"/>
    <n v="7"/>
    <s v="Active"/>
  </r>
  <r>
    <s v="EMP-847"/>
    <x v="0"/>
    <s v="Sales"/>
    <s v="Corporate"/>
    <s v="Female"/>
    <n v="52"/>
    <s v="45-55"/>
    <d v="2006-10-05T00:00:00"/>
    <n v="147966"/>
    <n v="0.11"/>
    <n v="164242.26"/>
    <s v="Brazil"/>
    <s v="Rio de Janerio"/>
    <d v="2019-05-23T00:00:00"/>
    <n v="847"/>
    <n v="1"/>
    <s v="EMP-"/>
    <n v="12"/>
    <s v="Inactive"/>
  </r>
  <r>
    <s v="EMP-848"/>
    <x v="20"/>
    <s v="Human Resources"/>
    <s v="Speciality Products"/>
    <s v="Male"/>
    <n v="58"/>
    <s v="55-65"/>
    <d v="2014-06-20T00:00:00"/>
    <n v="41728"/>
    <n v="0"/>
    <n v="41728"/>
    <s v="China"/>
    <s v="Chongqing"/>
    <m/>
    <n v="848"/>
    <n v="0"/>
    <s v="EMP-"/>
    <n v="11"/>
    <s v="Active"/>
  </r>
  <r>
    <s v="EMP-849"/>
    <x v="4"/>
    <s v="Accounting"/>
    <s v="Speciality Products"/>
    <s v="Male"/>
    <n v="62"/>
    <s v="55-65"/>
    <d v="2011-02-17T00:00:00"/>
    <n v="94422"/>
    <n v="0"/>
    <n v="94422"/>
    <s v="United States"/>
    <s v="Phoenix"/>
    <m/>
    <n v="849"/>
    <n v="0"/>
    <s v="EMP-"/>
    <n v="15"/>
    <s v="Active"/>
  </r>
  <r>
    <s v="EMP-850"/>
    <x v="2"/>
    <s v="Sales"/>
    <s v="Corporate"/>
    <s v="Male"/>
    <n v="31"/>
    <s v="25-35"/>
    <d v="2015-06-29T00:00:00"/>
    <n v="191026"/>
    <n v="0.16"/>
    <n v="221590.16"/>
    <s v="United States"/>
    <s v="Columbus"/>
    <m/>
    <n v="850"/>
    <n v="0"/>
    <s v="EMP-"/>
    <n v="10"/>
    <s v="Active"/>
  </r>
  <r>
    <s v="EMP-851"/>
    <x v="9"/>
    <s v="IT"/>
    <s v="Research &amp; Development"/>
    <s v="Male"/>
    <n v="42"/>
    <s v="35-45"/>
    <d v="2010-11-29T00:00:00"/>
    <n v="186725"/>
    <n v="0.32"/>
    <n v="246477"/>
    <s v="Brazil"/>
    <s v="Manaus"/>
    <m/>
    <n v="851"/>
    <n v="0"/>
    <s v="EMP-"/>
    <n v="15"/>
    <s v="Active"/>
  </r>
  <r>
    <s v="EMP-852"/>
    <x v="20"/>
    <s v="Human Resources"/>
    <s v="Research &amp; Development"/>
    <s v="Female"/>
    <n v="56"/>
    <s v="55-65"/>
    <d v="2009-08-20T00:00:00"/>
    <n v="52800"/>
    <n v="0"/>
    <n v="52800"/>
    <s v="United States"/>
    <s v="Phoenix"/>
    <m/>
    <n v="852"/>
    <n v="0"/>
    <s v="EMP-"/>
    <n v="16"/>
    <s v="Active"/>
  </r>
  <r>
    <s v="EMP-853"/>
    <x v="19"/>
    <s v="Engineering"/>
    <s v="Speciality Products"/>
    <s v="Male"/>
    <n v="54"/>
    <s v="45-55"/>
    <d v="2010-12-05T00:00:00"/>
    <n v="113982"/>
    <n v="0"/>
    <n v="113982"/>
    <s v="United States"/>
    <s v="Seattle"/>
    <m/>
    <n v="853"/>
    <n v="0"/>
    <s v="EMP-"/>
    <n v="15"/>
    <s v="Active"/>
  </r>
  <r>
    <s v="EMP-854"/>
    <x v="5"/>
    <s v="Sales"/>
    <s v="Research &amp; Development"/>
    <s v="Female"/>
    <n v="54"/>
    <s v="45-55"/>
    <d v="2021-03-16T00:00:00"/>
    <n v="56239"/>
    <n v="0"/>
    <n v="56239"/>
    <s v="China"/>
    <s v="Chongqing"/>
    <m/>
    <n v="854"/>
    <n v="0"/>
    <s v="EMP-"/>
    <n v="5"/>
    <s v="Active"/>
  </r>
  <r>
    <s v="EMP-855"/>
    <x v="7"/>
    <s v="Sales"/>
    <s v="Manufacturing"/>
    <s v="Male"/>
    <n v="26"/>
    <s v="25-35"/>
    <d v="2021-03-02T00:00:00"/>
    <n v="44732"/>
    <n v="0"/>
    <n v="44732"/>
    <s v="Brazil"/>
    <s v="Rio de Janerio"/>
    <m/>
    <n v="855"/>
    <n v="0"/>
    <s v="EMP-"/>
    <n v="5"/>
    <s v="Active"/>
  </r>
  <r>
    <s v="EMP-856"/>
    <x v="2"/>
    <s v="Marketing"/>
    <s v="Corporate"/>
    <s v="Male"/>
    <n v="49"/>
    <s v="45-55"/>
    <d v="2014-06-26T00:00:00"/>
    <n v="153961"/>
    <n v="0.25"/>
    <n v="192451.25"/>
    <s v="China"/>
    <s v="Shanghai"/>
    <m/>
    <n v="856"/>
    <n v="0"/>
    <s v="EMP-"/>
    <n v="11"/>
    <s v="Active"/>
  </r>
  <r>
    <s v="EMP-857"/>
    <x v="23"/>
    <s v="IT"/>
    <s v="Speciality Products"/>
    <s v="Female"/>
    <n v="45"/>
    <s v="45-55"/>
    <d v="2006-12-18T00:00:00"/>
    <n v="68337"/>
    <n v="0"/>
    <n v="68337"/>
    <s v="China"/>
    <s v="Chongqing"/>
    <m/>
    <n v="857"/>
    <n v="0"/>
    <s v="EMP-"/>
    <n v="19"/>
    <s v="Active"/>
  </r>
  <r>
    <s v="EMP-858"/>
    <x v="0"/>
    <s v="Human Resources"/>
    <s v="Corporate"/>
    <s v="Male"/>
    <n v="45"/>
    <s v="45-55"/>
    <d v="2010-05-07T00:00:00"/>
    <n v="145093"/>
    <n v="0.12"/>
    <n v="162504.16"/>
    <s v="United States"/>
    <s v="Chicago"/>
    <m/>
    <n v="858"/>
    <n v="0"/>
    <s v="EMP-"/>
    <n v="15"/>
    <s v="Active"/>
  </r>
  <r>
    <s v="EMP-859"/>
    <x v="30"/>
    <s v="IT"/>
    <s v="Speciality Products"/>
    <s v="Female"/>
    <n v="26"/>
    <s v="25-35"/>
    <d v="2021-03-11T00:00:00"/>
    <n v="74170"/>
    <n v="0"/>
    <n v="74170"/>
    <s v="United States"/>
    <s v="Austin"/>
    <m/>
    <n v="859"/>
    <n v="0"/>
    <s v="EMP-"/>
    <n v="5"/>
    <s v="Active"/>
  </r>
  <r>
    <s v="EMP-860"/>
    <x v="17"/>
    <s v="Engineering"/>
    <s v="Research &amp; Development"/>
    <s v="Male"/>
    <n v="59"/>
    <s v="55-65"/>
    <d v="1996-03-29T00:00:00"/>
    <n v="62605"/>
    <n v="0"/>
    <n v="62605"/>
    <s v="United States"/>
    <s v="Austin"/>
    <m/>
    <n v="860"/>
    <n v="0"/>
    <s v="EMP-"/>
    <n v="29"/>
    <s v="Active"/>
  </r>
  <r>
    <s v="EMP-861"/>
    <x v="6"/>
    <s v="IT"/>
    <s v="Speciality Products"/>
    <s v="Female"/>
    <n v="51"/>
    <s v="45-55"/>
    <d v="2020-03-13T00:00:00"/>
    <n v="107195"/>
    <n v="0.09"/>
    <n v="116842.55"/>
    <s v="United States"/>
    <s v="Austin"/>
    <m/>
    <n v="861"/>
    <n v="0"/>
    <s v="EMP-"/>
    <n v="6"/>
    <s v="Active"/>
  </r>
  <r>
    <s v="EMP-862"/>
    <x v="0"/>
    <s v="Marketing"/>
    <s v="Speciality Products"/>
    <s v="Male"/>
    <n v="45"/>
    <s v="45-55"/>
    <d v="2018-01-11T00:00:00"/>
    <n v="127422"/>
    <n v="0.15"/>
    <n v="146535.29999999999"/>
    <s v="United States"/>
    <s v="Columbus"/>
    <m/>
    <n v="862"/>
    <n v="0"/>
    <s v="EMP-"/>
    <n v="8"/>
    <s v="Active"/>
  </r>
  <r>
    <s v="EMP-863"/>
    <x v="2"/>
    <s v="Accounting"/>
    <s v="Research &amp; Development"/>
    <s v="Female"/>
    <n v="35"/>
    <s v="35-45"/>
    <d v="2017-06-26T00:00:00"/>
    <n v="161269"/>
    <n v="0.27"/>
    <n v="204811.63"/>
    <s v="United States"/>
    <s v="Miami"/>
    <m/>
    <n v="863"/>
    <n v="0"/>
    <s v="EMP-"/>
    <n v="8"/>
    <s v="Active"/>
  </r>
  <r>
    <s v="EMP-864"/>
    <x v="9"/>
    <s v="Marketing"/>
    <s v="Corporate"/>
    <s v="Female"/>
    <n v="32"/>
    <s v="25-35"/>
    <d v="2014-02-05T00:00:00"/>
    <n v="203445"/>
    <n v="0.34"/>
    <n v="272616.3"/>
    <s v="Brazil"/>
    <s v="Manaus"/>
    <m/>
    <n v="864"/>
    <n v="0"/>
    <s v="EMP-"/>
    <n v="12"/>
    <s v="Active"/>
  </r>
  <r>
    <s v="EMP-865"/>
    <x v="0"/>
    <s v="Human Resources"/>
    <s v="Research &amp; Development"/>
    <s v="Female"/>
    <n v="37"/>
    <s v="35-45"/>
    <d v="2011-01-17T00:00:00"/>
    <n v="131353"/>
    <n v="0.11"/>
    <n v="145801.82999999999"/>
    <s v="China"/>
    <s v="Shanghai"/>
    <m/>
    <n v="865"/>
    <n v="0"/>
    <s v="EMP-"/>
    <n v="15"/>
    <s v="Active"/>
  </r>
  <r>
    <s v="EMP-866"/>
    <x v="31"/>
    <s v="IT"/>
    <s v="Manufacturing"/>
    <s v="Male"/>
    <n v="45"/>
    <s v="45-55"/>
    <d v="2010-03-16T00:00:00"/>
    <n v="88182"/>
    <n v="0"/>
    <n v="88182"/>
    <s v="China"/>
    <s v="Chengdu"/>
    <m/>
    <n v="866"/>
    <n v="0"/>
    <s v="EMP-"/>
    <n v="16"/>
    <s v="Active"/>
  </r>
  <r>
    <s v="EMP-867"/>
    <x v="14"/>
    <s v="IT"/>
    <s v="Speciality Products"/>
    <s v="Male"/>
    <n v="61"/>
    <s v="55-65"/>
    <d v="2019-08-26T00:00:00"/>
    <n v="75780"/>
    <n v="0"/>
    <n v="75780"/>
    <s v="United States"/>
    <s v="Seattle"/>
    <m/>
    <n v="867"/>
    <n v="0"/>
    <s v="EMP-"/>
    <n v="6"/>
    <s v="Active"/>
  </r>
  <r>
    <s v="EMP-868"/>
    <x v="13"/>
    <s v="Sales"/>
    <s v="Research &amp; Development"/>
    <s v="Female"/>
    <n v="45"/>
    <s v="45-55"/>
    <d v="2019-04-02T00:00:00"/>
    <n v="52621"/>
    <n v="0"/>
    <n v="52621"/>
    <s v="China"/>
    <s v="Beijing"/>
    <m/>
    <n v="868"/>
    <n v="0"/>
    <s v="EMP-"/>
    <n v="6"/>
    <s v="Active"/>
  </r>
  <r>
    <s v="EMP-869"/>
    <x v="11"/>
    <s v="Engineering"/>
    <s v="Research &amp; Development"/>
    <s v="Male"/>
    <n v="60"/>
    <s v="55-65"/>
    <d v="2018-02-15T00:00:00"/>
    <n v="106079"/>
    <n v="0.14000000000000001"/>
    <n v="120930.06"/>
    <s v="United States"/>
    <s v="Austin"/>
    <d v="2021-04-09T00:00:00"/>
    <n v="869"/>
    <n v="1"/>
    <s v="EMP-"/>
    <n v="3"/>
    <s v="Inactive"/>
  </r>
  <r>
    <s v="EMP-870"/>
    <x v="21"/>
    <s v="IT"/>
    <s v="Corporate"/>
    <s v="Male"/>
    <n v="30"/>
    <s v="25-35"/>
    <d v="2017-02-11T00:00:00"/>
    <n v="92058"/>
    <n v="0"/>
    <n v="92058"/>
    <s v="United States"/>
    <s v="Austin"/>
    <m/>
    <n v="870"/>
    <n v="0"/>
    <s v="EMP-"/>
    <n v="9"/>
    <s v="Active"/>
  </r>
  <r>
    <s v="EMP-871"/>
    <x v="17"/>
    <s v="Engineering"/>
    <s v="Manufacturing"/>
    <s v="Male"/>
    <n v="64"/>
    <s v="55-65"/>
    <d v="2019-03-03T00:00:00"/>
    <n v="67114"/>
    <n v="0"/>
    <n v="67114"/>
    <s v="United States"/>
    <s v="Phoenix"/>
    <m/>
    <n v="871"/>
    <n v="0"/>
    <s v="EMP-"/>
    <n v="7"/>
    <s v="Active"/>
  </r>
  <r>
    <s v="EMP-872"/>
    <x v="13"/>
    <s v="Finance"/>
    <s v="Research &amp; Development"/>
    <s v="Female"/>
    <n v="25"/>
    <s v="25-35"/>
    <d v="2020-07-12T00:00:00"/>
    <n v="56565"/>
    <n v="0"/>
    <n v="56565"/>
    <s v="Brazil"/>
    <s v="Sao Paulo"/>
    <m/>
    <n v="872"/>
    <n v="0"/>
    <s v="EMP-"/>
    <n v="5"/>
    <s v="Active"/>
  </r>
  <r>
    <s v="EMP-873"/>
    <x v="16"/>
    <s v="Human Resources"/>
    <s v="Manufacturing"/>
    <s v="Female"/>
    <n v="61"/>
    <s v="55-65"/>
    <d v="2011-05-20T00:00:00"/>
    <n v="64937"/>
    <n v="0"/>
    <n v="64937"/>
    <s v="United States"/>
    <s v="Phoenix"/>
    <m/>
    <n v="873"/>
    <n v="0"/>
    <s v="EMP-"/>
    <n v="14"/>
    <s v="Active"/>
  </r>
  <r>
    <s v="EMP-874"/>
    <x v="6"/>
    <s v="Marketing"/>
    <s v="Manufacturing"/>
    <s v="Female"/>
    <n v="65"/>
    <s v="65-100"/>
    <d v="2006-09-07T00:00:00"/>
    <n v="127626"/>
    <n v="0.1"/>
    <n v="140388.6"/>
    <s v="United States"/>
    <s v="Miami"/>
    <m/>
    <n v="874"/>
    <n v="0"/>
    <s v="EMP-"/>
    <n v="19"/>
    <s v="Active"/>
  </r>
  <r>
    <s v="EMP-875"/>
    <x v="23"/>
    <s v="IT"/>
    <s v="Corporate"/>
    <s v="Male"/>
    <n v="61"/>
    <s v="55-65"/>
    <d v="2004-01-27T00:00:00"/>
    <n v="88478"/>
    <n v="0"/>
    <n v="88478"/>
    <s v="United States"/>
    <s v="Austin"/>
    <m/>
    <n v="875"/>
    <n v="0"/>
    <s v="EMP-"/>
    <n v="22"/>
    <s v="Active"/>
  </r>
  <r>
    <s v="EMP-876"/>
    <x v="3"/>
    <s v="IT"/>
    <s v="Speciality Products"/>
    <s v="Female"/>
    <n v="48"/>
    <s v="45-55"/>
    <d v="2014-04-20T00:00:00"/>
    <n v="91679"/>
    <n v="7.0000000000000007E-2"/>
    <n v="98096.53"/>
    <s v="China"/>
    <s v="Chongqing"/>
    <m/>
    <n v="876"/>
    <n v="0"/>
    <s v="EMP-"/>
    <n v="11"/>
    <s v="Active"/>
  </r>
  <r>
    <s v="EMP-877"/>
    <x v="2"/>
    <s v="Sales"/>
    <s v="Corporate"/>
    <s v="Male"/>
    <n v="58"/>
    <s v="55-65"/>
    <d v="1992-03-19T00:00:00"/>
    <n v="199848"/>
    <n v="0.16"/>
    <n v="231823.68"/>
    <s v="China"/>
    <s v="Chongqing"/>
    <m/>
    <n v="877"/>
    <n v="0"/>
    <s v="EMP-"/>
    <n v="33"/>
    <s v="Active"/>
  </r>
  <r>
    <s v="EMP-878"/>
    <x v="24"/>
    <s v="IT"/>
    <s v="Manufacturing"/>
    <s v="Male"/>
    <n v="34"/>
    <s v="25-35"/>
    <d v="2018-11-10T00:00:00"/>
    <n v="61944"/>
    <n v="0"/>
    <n v="61944"/>
    <s v="China"/>
    <s v="Shanghai"/>
    <m/>
    <n v="878"/>
    <n v="0"/>
    <s v="EMP-"/>
    <n v="7"/>
    <s v="Active"/>
  </r>
  <r>
    <s v="EMP-879"/>
    <x v="0"/>
    <s v="Sales"/>
    <s v="Speciality Products"/>
    <s v="Female"/>
    <n v="30"/>
    <s v="25-35"/>
    <d v="2017-08-13T00:00:00"/>
    <n v="154624"/>
    <n v="0.15"/>
    <n v="177817.60000000001"/>
    <s v="United States"/>
    <s v="Austin"/>
    <m/>
    <n v="879"/>
    <n v="0"/>
    <s v="EMP-"/>
    <n v="8"/>
    <s v="Active"/>
  </r>
  <r>
    <s v="EMP-880"/>
    <x v="4"/>
    <s v="Accounting"/>
    <s v="Research &amp; Development"/>
    <s v="Male"/>
    <n v="50"/>
    <s v="45-55"/>
    <d v="2009-10-23T00:00:00"/>
    <n v="79447"/>
    <n v="0"/>
    <n v="79447"/>
    <s v="China"/>
    <s v="Shanghai"/>
    <m/>
    <n v="880"/>
    <n v="0"/>
    <s v="EMP-"/>
    <n v="16"/>
    <s v="Active"/>
  </r>
  <r>
    <s v="EMP-881"/>
    <x v="4"/>
    <s v="Sales"/>
    <s v="Manufacturing"/>
    <s v="Male"/>
    <n v="51"/>
    <s v="45-55"/>
    <d v="1998-02-26T00:00:00"/>
    <n v="71111"/>
    <n v="0"/>
    <n v="71111"/>
    <s v="Brazil"/>
    <s v="Rio de Janerio"/>
    <m/>
    <n v="881"/>
    <n v="0"/>
    <s v="EMP-"/>
    <n v="28"/>
    <s v="Active"/>
  </r>
  <r>
    <s v="EMP-882"/>
    <x v="0"/>
    <s v="Sales"/>
    <s v="Research &amp; Development"/>
    <s v="Male"/>
    <n v="53"/>
    <s v="45-55"/>
    <d v="2014-10-19T00:00:00"/>
    <n v="159538"/>
    <n v="0.11"/>
    <n v="177087.18"/>
    <s v="United States"/>
    <s v="Miami"/>
    <m/>
    <n v="882"/>
    <n v="0"/>
    <s v="EMP-"/>
    <n v="11"/>
    <s v="Active"/>
  </r>
  <r>
    <s v="EMP-883"/>
    <x v="8"/>
    <s v="Engineering"/>
    <s v="Corporate"/>
    <s v="Female"/>
    <n v="47"/>
    <s v="45-55"/>
    <d v="2018-10-02T00:00:00"/>
    <n v="111404"/>
    <n v="0"/>
    <n v="111404"/>
    <s v="Brazil"/>
    <s v="Rio de Janerio"/>
    <m/>
    <n v="883"/>
    <n v="0"/>
    <s v="EMP-"/>
    <n v="7"/>
    <s v="Active"/>
  </r>
  <r>
    <s v="EMP-884"/>
    <x v="2"/>
    <s v="Marketing"/>
    <s v="Speciality Products"/>
    <s v="Male"/>
    <n v="25"/>
    <s v="25-35"/>
    <d v="2020-08-15T00:00:00"/>
    <n v="172007"/>
    <n v="0.26"/>
    <n v="216728.82"/>
    <s v="United States"/>
    <s v="Miami"/>
    <m/>
    <n v="884"/>
    <n v="0"/>
    <s v="EMP-"/>
    <n v="5"/>
    <s v="Active"/>
  </r>
  <r>
    <s v="EMP-885"/>
    <x v="9"/>
    <s v="Marketing"/>
    <s v="Manufacturing"/>
    <s v="Female"/>
    <n v="37"/>
    <s v="35-45"/>
    <d v="2011-07-21T00:00:00"/>
    <n v="219474"/>
    <n v="0.36"/>
    <n v="298484.64"/>
    <s v="Brazil"/>
    <s v="Manaus"/>
    <m/>
    <n v="885"/>
    <n v="0"/>
    <s v="EMP-"/>
    <n v="14"/>
    <s v="Active"/>
  </r>
  <r>
    <s v="EMP-886"/>
    <x v="2"/>
    <s v="Finance"/>
    <s v="Corporate"/>
    <s v="Male"/>
    <n v="41"/>
    <s v="35-45"/>
    <d v="2019-05-15T00:00:00"/>
    <n v="174415"/>
    <n v="0.23"/>
    <n v="214530.45"/>
    <s v="United States"/>
    <s v="Miami"/>
    <m/>
    <n v="886"/>
    <n v="0"/>
    <s v="EMP-"/>
    <n v="6"/>
    <s v="Active"/>
  </r>
  <r>
    <s v="EMP-887"/>
    <x v="23"/>
    <s v="IT"/>
    <s v="Speciality Products"/>
    <s v="Female"/>
    <n v="36"/>
    <s v="35-45"/>
    <d v="2021-01-21T00:00:00"/>
    <n v="90333"/>
    <n v="0"/>
    <n v="90333"/>
    <s v="Brazil"/>
    <s v="Rio de Janerio"/>
    <m/>
    <n v="887"/>
    <n v="0"/>
    <s v="EMP-"/>
    <n v="5"/>
    <s v="Active"/>
  </r>
  <r>
    <s v="EMP-888"/>
    <x v="16"/>
    <s v="Human Resources"/>
    <s v="Speciality Products"/>
    <s v="Male"/>
    <n v="25"/>
    <s v="25-35"/>
    <d v="2021-01-21T00:00:00"/>
    <n v="67299"/>
    <n v="0"/>
    <n v="67299"/>
    <s v="United States"/>
    <s v="Phoenix"/>
    <m/>
    <n v="888"/>
    <n v="0"/>
    <s v="EMP-"/>
    <n v="5"/>
    <s v="Active"/>
  </r>
  <r>
    <s v="EMP-889"/>
    <x v="28"/>
    <s v="IT"/>
    <s v="Research &amp; Development"/>
    <s v="Female"/>
    <n v="52"/>
    <s v="45-55"/>
    <d v="2005-02-23T00:00:00"/>
    <n v="45286"/>
    <n v="0"/>
    <n v="45286"/>
    <s v="United States"/>
    <s v="Chicago"/>
    <m/>
    <n v="889"/>
    <n v="0"/>
    <s v="EMP-"/>
    <n v="21"/>
    <s v="Active"/>
  </r>
  <r>
    <s v="EMP-890"/>
    <x v="2"/>
    <s v="Marketing"/>
    <s v="Research &amp; Development"/>
    <s v="Male"/>
    <n v="48"/>
    <s v="45-55"/>
    <d v="2007-08-08T00:00:00"/>
    <n v="194723"/>
    <n v="0.25"/>
    <n v="243403.75"/>
    <s v="United States"/>
    <s v="Phoenix"/>
    <m/>
    <n v="890"/>
    <n v="0"/>
    <s v="EMP-"/>
    <n v="18"/>
    <s v="Active"/>
  </r>
  <r>
    <s v="EMP-891"/>
    <x v="6"/>
    <s v="Sales"/>
    <s v="Research &amp; Development"/>
    <s v="Male"/>
    <n v="49"/>
    <s v="45-55"/>
    <d v="2012-08-10T00:00:00"/>
    <n v="109850"/>
    <n v="7.0000000000000007E-2"/>
    <n v="117539.5"/>
    <s v="China"/>
    <s v="Beijing"/>
    <d v="2020-02-04T00:00:00"/>
    <n v="891"/>
    <n v="1"/>
    <s v="EMP-"/>
    <n v="7"/>
    <s v="Inactive"/>
  </r>
  <r>
    <s v="EMP-892"/>
    <x v="20"/>
    <s v="Human Resources"/>
    <s v="Research &amp; Development"/>
    <s v="Female"/>
    <n v="62"/>
    <s v="55-65"/>
    <d v="2014-04-19T00:00:00"/>
    <n v="45295"/>
    <n v="0"/>
    <n v="45295"/>
    <s v="Brazil"/>
    <s v="Sao Paulo"/>
    <m/>
    <n v="892"/>
    <n v="0"/>
    <s v="EMP-"/>
    <n v="11"/>
    <s v="Active"/>
  </r>
  <r>
    <s v="EMP-893"/>
    <x v="32"/>
    <s v="IT"/>
    <s v="Manufacturing"/>
    <s v="Female"/>
    <n v="36"/>
    <s v="35-45"/>
    <d v="2010-08-23T00:00:00"/>
    <n v="61310"/>
    <n v="0"/>
    <n v="61310"/>
    <s v="United States"/>
    <s v="Phoenix"/>
    <m/>
    <n v="893"/>
    <n v="0"/>
    <s v="EMP-"/>
    <n v="15"/>
    <s v="Active"/>
  </r>
  <r>
    <s v="EMP-894"/>
    <x v="27"/>
    <s v="IT"/>
    <s v="Research &amp; Development"/>
    <s v="Male"/>
    <n v="55"/>
    <s v="55-65"/>
    <d v="2016-11-09T00:00:00"/>
    <n v="87851"/>
    <n v="0"/>
    <n v="87851"/>
    <s v="China"/>
    <s v="Chongqing"/>
    <m/>
    <n v="894"/>
    <n v="0"/>
    <s v="EMP-"/>
    <n v="9"/>
    <s v="Active"/>
  </r>
  <r>
    <s v="EMP-895"/>
    <x v="20"/>
    <s v="Human Resources"/>
    <s v="Speciality Products"/>
    <s v="Female"/>
    <n v="31"/>
    <s v="25-35"/>
    <d v="2018-03-12T00:00:00"/>
    <n v="47913"/>
    <n v="0"/>
    <n v="47913"/>
    <s v="United States"/>
    <s v="Seattle"/>
    <m/>
    <n v="895"/>
    <n v="0"/>
    <s v="EMP-"/>
    <n v="8"/>
    <s v="Active"/>
  </r>
  <r>
    <s v="EMP-896"/>
    <x v="20"/>
    <s v="Human Resources"/>
    <s v="Speciality Products"/>
    <s v="Female"/>
    <n v="53"/>
    <s v="45-55"/>
    <d v="2017-09-07T00:00:00"/>
    <n v="46727"/>
    <n v="0"/>
    <n v="46727"/>
    <s v="United States"/>
    <s v="Columbus"/>
    <d v="2018-05-31T00:00:00"/>
    <n v="896"/>
    <n v="1"/>
    <s v="EMP-"/>
    <n v="0"/>
    <s v="Inactive"/>
  </r>
  <r>
    <s v="EMP-897"/>
    <x v="0"/>
    <s v="Human Resources"/>
    <s v="Speciality Products"/>
    <s v="Male"/>
    <n v="27"/>
    <s v="25-35"/>
    <d v="2021-04-16T00:00:00"/>
    <n v="133400"/>
    <n v="0.11"/>
    <n v="148074"/>
    <s v="United States"/>
    <s v="Phoenix"/>
    <m/>
    <n v="897"/>
    <n v="0"/>
    <s v="EMP-"/>
    <n v="4"/>
    <s v="Active"/>
  </r>
  <r>
    <s v="EMP-898"/>
    <x v="29"/>
    <s v="IT"/>
    <s v="Speciality Products"/>
    <s v="Female"/>
    <n v="39"/>
    <s v="35-45"/>
    <d v="2020-04-22T00:00:00"/>
    <n v="90535"/>
    <n v="0"/>
    <n v="90535"/>
    <s v="United States"/>
    <s v="Miami"/>
    <m/>
    <n v="898"/>
    <n v="0"/>
    <s v="EMP-"/>
    <n v="5"/>
    <s v="Active"/>
  </r>
  <r>
    <s v="EMP-899"/>
    <x v="4"/>
    <s v="Marketing"/>
    <s v="Speciality Products"/>
    <s v="Male"/>
    <n v="55"/>
    <s v="55-65"/>
    <d v="2006-07-11T00:00:00"/>
    <n v="93343"/>
    <n v="0"/>
    <n v="93343"/>
    <s v="China"/>
    <s v="Chongqing"/>
    <m/>
    <n v="899"/>
    <n v="0"/>
    <s v="EMP-"/>
    <n v="19"/>
    <s v="Active"/>
  </r>
  <r>
    <s v="EMP-900"/>
    <x v="16"/>
    <s v="Human Resources"/>
    <s v="Corporate"/>
    <s v="Female"/>
    <n v="44"/>
    <s v="35-45"/>
    <d v="2006-02-23T00:00:00"/>
    <n v="63705"/>
    <n v="0"/>
    <n v="63705"/>
    <s v="United States"/>
    <s v="Miami"/>
    <m/>
    <n v="900"/>
    <n v="0"/>
    <s v="EMP-"/>
    <n v="20"/>
    <s v="Active"/>
  </r>
  <r>
    <s v="EMP-901"/>
    <x v="9"/>
    <s v="Sales"/>
    <s v="Corporate"/>
    <s v="Male"/>
    <n v="48"/>
    <s v="45-55"/>
    <d v="2000-02-28T00:00:00"/>
    <n v="258081"/>
    <n v="0.3"/>
    <n v="335505.3"/>
    <s v="United States"/>
    <s v="Chicago"/>
    <m/>
    <n v="901"/>
    <n v="0"/>
    <s v="EMP-"/>
    <n v="26"/>
    <s v="Active"/>
  </r>
  <r>
    <s v="EMP-902"/>
    <x v="20"/>
    <s v="Human Resources"/>
    <s v="Research &amp; Development"/>
    <s v="Male"/>
    <n v="48"/>
    <s v="45-55"/>
    <d v="2020-09-21T00:00:00"/>
    <n v="54654"/>
    <n v="0"/>
    <n v="54654"/>
    <s v="United States"/>
    <s v="Phoenix"/>
    <m/>
    <n v="902"/>
    <n v="0"/>
    <s v="EMP-"/>
    <n v="5"/>
    <s v="Active"/>
  </r>
  <r>
    <s v="EMP-903"/>
    <x v="7"/>
    <s v="Sales"/>
    <s v="Manufacturing"/>
    <s v="Male"/>
    <n v="54"/>
    <s v="45-55"/>
    <d v="1998-09-24T00:00:00"/>
    <n v="58006"/>
    <n v="0"/>
    <n v="58006"/>
    <s v="United States"/>
    <s v="Seattle"/>
    <m/>
    <n v="903"/>
    <n v="0"/>
    <s v="EMP-"/>
    <n v="27"/>
    <s v="Active"/>
  </r>
  <r>
    <s v="EMP-904"/>
    <x v="0"/>
    <s v="Finance"/>
    <s v="Manufacturing"/>
    <s v="Female"/>
    <n v="42"/>
    <s v="35-45"/>
    <d v="2011-03-18T00:00:00"/>
    <n v="150034"/>
    <n v="0.12"/>
    <n v="168038.08"/>
    <s v="China"/>
    <s v="Beijing"/>
    <m/>
    <n v="904"/>
    <n v="0"/>
    <s v="EMP-"/>
    <n v="14"/>
    <s v="Active"/>
  </r>
  <r>
    <s v="EMP-905"/>
    <x v="2"/>
    <s v="Human Resources"/>
    <s v="Speciality Products"/>
    <s v="Female"/>
    <n v="38"/>
    <s v="35-45"/>
    <d v="2007-05-30T00:00:00"/>
    <n v="198562"/>
    <n v="0.22"/>
    <n v="242245.64"/>
    <s v="United States"/>
    <s v="Seattle"/>
    <m/>
    <n v="905"/>
    <n v="0"/>
    <s v="EMP-"/>
    <n v="18"/>
    <s v="Active"/>
  </r>
  <r>
    <s v="EMP-906"/>
    <x v="5"/>
    <s v="Sales"/>
    <s v="Research &amp; Development"/>
    <s v="Female"/>
    <n v="40"/>
    <s v="35-45"/>
    <d v="2009-05-27T00:00:00"/>
    <n v="62411"/>
    <n v="0"/>
    <n v="62411"/>
    <s v="United States"/>
    <s v="Miami"/>
    <d v="2021-08-14T00:00:00"/>
    <n v="906"/>
    <n v="1"/>
    <s v="EMP-"/>
    <n v="12"/>
    <s v="Inactive"/>
  </r>
  <r>
    <s v="EMP-907"/>
    <x v="11"/>
    <s v="Engineering"/>
    <s v="Research &amp; Development"/>
    <s v="Male"/>
    <n v="57"/>
    <s v="55-65"/>
    <d v="1992-01-09T00:00:00"/>
    <n v="111299"/>
    <n v="0.12"/>
    <n v="124654.88"/>
    <s v="United States"/>
    <s v="Miami"/>
    <m/>
    <n v="907"/>
    <n v="0"/>
    <s v="EMP-"/>
    <n v="34"/>
    <s v="Active"/>
  </r>
  <r>
    <s v="EMP-908"/>
    <x v="7"/>
    <s v="Marketing"/>
    <s v="Research &amp; Development"/>
    <s v="Female"/>
    <n v="43"/>
    <s v="35-45"/>
    <d v="2019-07-13T00:00:00"/>
    <n v="41545"/>
    <n v="0"/>
    <n v="41545"/>
    <s v="United States"/>
    <s v="Miami"/>
    <m/>
    <n v="908"/>
    <n v="0"/>
    <s v="EMP-"/>
    <n v="6"/>
    <s v="Active"/>
  </r>
  <r>
    <s v="EMP-909"/>
    <x v="24"/>
    <s v="IT"/>
    <s v="Manufacturing"/>
    <s v="Male"/>
    <n v="26"/>
    <s v="25-35"/>
    <d v="2019-04-14T00:00:00"/>
    <n v="74467"/>
    <n v="0"/>
    <n v="74467"/>
    <s v="United States"/>
    <s v="Columbus"/>
    <d v="2021-01-15T00:00:00"/>
    <n v="909"/>
    <n v="1"/>
    <s v="EMP-"/>
    <n v="1"/>
    <s v="Inactive"/>
  </r>
  <r>
    <s v="EMP-910"/>
    <x v="6"/>
    <s v="Accounting"/>
    <s v="Research &amp; Development"/>
    <s v="Male"/>
    <n v="44"/>
    <s v="35-45"/>
    <d v="2002-02-09T00:00:00"/>
    <n v="117545"/>
    <n v="0.06"/>
    <n v="124597.7"/>
    <s v="United States"/>
    <s v="Phoenix"/>
    <m/>
    <n v="910"/>
    <n v="0"/>
    <s v="EMP-"/>
    <n v="24"/>
    <s v="Active"/>
  </r>
  <r>
    <s v="EMP-911"/>
    <x v="6"/>
    <s v="Human Resources"/>
    <s v="Speciality Products"/>
    <s v="Male"/>
    <n v="50"/>
    <s v="45-55"/>
    <d v="2012-03-15T00:00:00"/>
    <n v="117226"/>
    <n v="0.08"/>
    <n v="126604.08"/>
    <s v="United States"/>
    <s v="Phoenix"/>
    <m/>
    <n v="911"/>
    <n v="0"/>
    <s v="EMP-"/>
    <n v="14"/>
    <s v="Active"/>
  </r>
  <r>
    <s v="EMP-912"/>
    <x v="7"/>
    <s v="Accounting"/>
    <s v="Corporate"/>
    <s v="Female"/>
    <n v="26"/>
    <s v="25-35"/>
    <d v="2019-01-24T00:00:00"/>
    <n v="55767"/>
    <n v="0"/>
    <n v="55767"/>
    <s v="United States"/>
    <s v="Phoenix"/>
    <m/>
    <n v="912"/>
    <n v="0"/>
    <s v="EMP-"/>
    <n v="7"/>
    <s v="Active"/>
  </r>
  <r>
    <s v="EMP-913"/>
    <x v="13"/>
    <s v="Sales"/>
    <s v="Manufacturing"/>
    <s v="Female"/>
    <n v="29"/>
    <s v="25-35"/>
    <d v="2016-11-17T00:00:00"/>
    <n v="60930"/>
    <n v="0"/>
    <n v="60930"/>
    <s v="United States"/>
    <s v="Austin"/>
    <m/>
    <n v="913"/>
    <n v="0"/>
    <s v="EMP-"/>
    <n v="9"/>
    <s v="Active"/>
  </r>
  <r>
    <s v="EMP-914"/>
    <x v="2"/>
    <s v="Sales"/>
    <s v="Speciality Products"/>
    <s v="Female"/>
    <n v="27"/>
    <s v="25-35"/>
    <d v="2018-10-24T00:00:00"/>
    <n v="154973"/>
    <n v="0.28999999999999998"/>
    <n v="199915.16999999998"/>
    <s v="Brazil"/>
    <s v="Sao Paulo"/>
    <m/>
    <n v="914"/>
    <n v="0"/>
    <s v="EMP-"/>
    <n v="7"/>
    <s v="Active"/>
  </r>
  <r>
    <s v="EMP-915"/>
    <x v="21"/>
    <s v="IT"/>
    <s v="Manufacturing"/>
    <s v="Female"/>
    <n v="33"/>
    <s v="25-35"/>
    <d v="2017-10-21T00:00:00"/>
    <n v="69332"/>
    <n v="0"/>
    <n v="69332"/>
    <s v="United States"/>
    <s v="Columbus"/>
    <m/>
    <n v="915"/>
    <n v="0"/>
    <s v="EMP-"/>
    <n v="8"/>
    <s v="Active"/>
  </r>
  <r>
    <s v="EMP-916"/>
    <x v="8"/>
    <s v="Engineering"/>
    <s v="Research &amp; Development"/>
    <s v="Female"/>
    <n v="59"/>
    <s v="55-65"/>
    <d v="2001-04-09T00:00:00"/>
    <n v="119699"/>
    <n v="0"/>
    <n v="119699"/>
    <s v="China"/>
    <s v="Shanghai"/>
    <m/>
    <n v="916"/>
    <n v="0"/>
    <s v="EMP-"/>
    <n v="24"/>
    <s v="Active"/>
  </r>
  <r>
    <s v="EMP-917"/>
    <x v="2"/>
    <s v="Human Resources"/>
    <s v="Speciality Products"/>
    <s v="Female"/>
    <n v="40"/>
    <s v="35-45"/>
    <d v="2020-09-20T00:00:00"/>
    <n v="198176"/>
    <n v="0.17"/>
    <n v="231865.92"/>
    <s v="Brazil"/>
    <s v="Manaus"/>
    <m/>
    <n v="917"/>
    <n v="0"/>
    <s v="EMP-"/>
    <n v="5"/>
    <s v="Active"/>
  </r>
  <r>
    <s v="EMP-918"/>
    <x v="13"/>
    <s v="Finance"/>
    <s v="Research &amp; Development"/>
    <s v="Female"/>
    <n v="45"/>
    <s v="45-55"/>
    <d v="2012-08-06T00:00:00"/>
    <n v="58586"/>
    <n v="0"/>
    <n v="58586"/>
    <s v="Brazil"/>
    <s v="Sao Paulo"/>
    <m/>
    <n v="918"/>
    <n v="0"/>
    <s v="EMP-"/>
    <n v="13"/>
    <s v="Active"/>
  </r>
  <r>
    <s v="EMP-919"/>
    <x v="26"/>
    <s v="Sales"/>
    <s v="Corporate"/>
    <s v="Male"/>
    <n v="38"/>
    <s v="35-45"/>
    <d v="2011-11-28T00:00:00"/>
    <n v="74010"/>
    <n v="0"/>
    <n v="74010"/>
    <s v="United States"/>
    <s v="Chicago"/>
    <m/>
    <n v="919"/>
    <n v="0"/>
    <s v="EMP-"/>
    <n v="14"/>
    <s v="Active"/>
  </r>
  <r>
    <s v="EMP-920"/>
    <x v="26"/>
    <s v="Sales"/>
    <s v="Speciality Products"/>
    <s v="Male"/>
    <n v="32"/>
    <s v="25-35"/>
    <d v="2020-02-03T00:00:00"/>
    <n v="96598"/>
    <n v="0"/>
    <n v="96598"/>
    <s v="United States"/>
    <s v="Phoenix"/>
    <m/>
    <n v="920"/>
    <n v="0"/>
    <s v="EMP-"/>
    <n v="6"/>
    <s v="Active"/>
  </r>
  <r>
    <s v="EMP-921"/>
    <x v="6"/>
    <s v="Sales"/>
    <s v="Speciality Products"/>
    <s v="Female"/>
    <n v="64"/>
    <s v="55-65"/>
    <d v="2003-05-21T00:00:00"/>
    <n v="106444"/>
    <n v="0.05"/>
    <n v="111766.2"/>
    <s v="United States"/>
    <s v="Phoenix"/>
    <m/>
    <n v="921"/>
    <n v="0"/>
    <s v="EMP-"/>
    <n v="22"/>
    <s v="Active"/>
  </r>
  <r>
    <s v="EMP-922"/>
    <x v="2"/>
    <s v="Finance"/>
    <s v="Corporate"/>
    <s v="Male"/>
    <n v="31"/>
    <s v="25-35"/>
    <d v="2017-08-10T00:00:00"/>
    <n v="156931"/>
    <n v="0.28000000000000003"/>
    <n v="200871.67999999999"/>
    <s v="United States"/>
    <s v="Seattle"/>
    <m/>
    <n v="922"/>
    <n v="0"/>
    <s v="EMP-"/>
    <n v="8"/>
    <s v="Active"/>
  </r>
  <r>
    <s v="EMP-923"/>
    <x v="2"/>
    <s v="Marketing"/>
    <s v="Research &amp; Development"/>
    <s v="Female"/>
    <n v="43"/>
    <s v="35-45"/>
    <d v="2014-10-16T00:00:00"/>
    <n v="171360"/>
    <n v="0.23"/>
    <n v="210772.8"/>
    <s v="Brazil"/>
    <s v="Manaus"/>
    <m/>
    <n v="923"/>
    <n v="0"/>
    <s v="EMP-"/>
    <n v="11"/>
    <s v="Active"/>
  </r>
  <r>
    <s v="EMP-924"/>
    <x v="14"/>
    <s v="IT"/>
    <s v="Research &amp; Development"/>
    <s v="Female"/>
    <n v="45"/>
    <s v="45-55"/>
    <d v="2009-04-05T00:00:00"/>
    <n v="64505"/>
    <n v="0"/>
    <n v="64505"/>
    <s v="United States"/>
    <s v="Miami"/>
    <m/>
    <n v="924"/>
    <n v="0"/>
    <s v="EMP-"/>
    <n v="16"/>
    <s v="Active"/>
  </r>
  <r>
    <s v="EMP-925"/>
    <x v="11"/>
    <s v="Engineering"/>
    <s v="Speciality Products"/>
    <s v="Male"/>
    <n v="32"/>
    <s v="25-35"/>
    <d v="2021-10-09T00:00:00"/>
    <n v="102298"/>
    <n v="0.13"/>
    <n v="115596.74"/>
    <s v="Brazil"/>
    <s v="Rio de Janerio"/>
    <m/>
    <n v="925"/>
    <n v="0"/>
    <s v="EMP-"/>
    <n v="4"/>
    <s v="Active"/>
  </r>
  <r>
    <s v="EMP-926"/>
    <x v="0"/>
    <s v="Sales"/>
    <s v="Corporate"/>
    <s v="Female"/>
    <n v="27"/>
    <s v="25-35"/>
    <d v="2019-09-13T00:00:00"/>
    <n v="133297"/>
    <n v="0.13"/>
    <n v="150625.60999999999"/>
    <s v="Brazil"/>
    <s v="Rio de Janerio"/>
    <m/>
    <n v="926"/>
    <n v="0"/>
    <s v="EMP-"/>
    <n v="6"/>
    <s v="Active"/>
  </r>
  <r>
    <s v="EMP-927"/>
    <x v="0"/>
    <s v="Human Resources"/>
    <s v="Speciality Products"/>
    <s v="Female"/>
    <n v="25"/>
    <s v="25-35"/>
    <d v="2021-03-17T00:00:00"/>
    <n v="155080"/>
    <n v="0.1"/>
    <n v="170588"/>
    <s v="United States"/>
    <s v="Austin"/>
    <m/>
    <n v="927"/>
    <n v="0"/>
    <s v="EMP-"/>
    <n v="4"/>
    <s v="Active"/>
  </r>
  <r>
    <s v="EMP-928"/>
    <x v="4"/>
    <s v="Sales"/>
    <s v="Speciality Products"/>
    <s v="Male"/>
    <n v="31"/>
    <s v="25-35"/>
    <d v="2018-08-13T00:00:00"/>
    <n v="81828"/>
    <n v="0"/>
    <n v="81828"/>
    <s v="United States"/>
    <s v="Miami"/>
    <m/>
    <n v="928"/>
    <n v="0"/>
    <s v="EMP-"/>
    <n v="7"/>
    <s v="Active"/>
  </r>
  <r>
    <s v="EMP-929"/>
    <x v="0"/>
    <s v="Marketing"/>
    <s v="Corporate"/>
    <s v="Female"/>
    <n v="65"/>
    <s v="65-100"/>
    <d v="2000-10-24T00:00:00"/>
    <n v="149417"/>
    <n v="0.13"/>
    <n v="168841.21"/>
    <s v="China"/>
    <s v="Chengdu"/>
    <m/>
    <n v="929"/>
    <n v="0"/>
    <s v="EMP-"/>
    <n v="25"/>
    <s v="Active"/>
  </r>
  <r>
    <s v="EMP-930"/>
    <x v="6"/>
    <s v="Sales"/>
    <s v="Corporate"/>
    <s v="Male"/>
    <n v="50"/>
    <s v="45-55"/>
    <d v="2012-04-25T00:00:00"/>
    <n v="113269"/>
    <n v="0.09"/>
    <n v="123463.20999999999"/>
    <s v="Brazil"/>
    <s v="Sao Paulo"/>
    <m/>
    <n v="930"/>
    <n v="0"/>
    <s v="EMP-"/>
    <n v="13"/>
    <s v="Active"/>
  </r>
  <r>
    <s v="EMP-931"/>
    <x v="0"/>
    <s v="IT"/>
    <s v="Manufacturing"/>
    <s v="Male"/>
    <n v="46"/>
    <s v="45-55"/>
    <d v="2017-12-16T00:00:00"/>
    <n v="136716"/>
    <n v="0.12"/>
    <n v="153121.91999999998"/>
    <s v="United States"/>
    <s v="Austin"/>
    <m/>
    <n v="931"/>
    <n v="0"/>
    <s v="EMP-"/>
    <n v="8"/>
    <s v="Active"/>
  </r>
  <r>
    <s v="EMP-932"/>
    <x v="0"/>
    <s v="Sales"/>
    <s v="Speciality Products"/>
    <s v="Male"/>
    <n v="54"/>
    <s v="45-55"/>
    <d v="2011-10-20T00:00:00"/>
    <n v="122644"/>
    <n v="0.12"/>
    <n v="137361.28"/>
    <s v="United States"/>
    <s v="Austin"/>
    <m/>
    <n v="932"/>
    <n v="0"/>
    <s v="EMP-"/>
    <n v="14"/>
    <s v="Active"/>
  </r>
  <r>
    <s v="EMP-933"/>
    <x v="6"/>
    <s v="Sales"/>
    <s v="Research &amp; Development"/>
    <s v="Female"/>
    <n v="50"/>
    <s v="45-55"/>
    <d v="2000-05-07T00:00:00"/>
    <n v="106428"/>
    <n v="7.0000000000000007E-2"/>
    <n v="113877.96"/>
    <s v="United States"/>
    <s v="Chicago"/>
    <m/>
    <n v="933"/>
    <n v="0"/>
    <s v="EMP-"/>
    <n v="25"/>
    <s v="Active"/>
  </r>
  <r>
    <s v="EMP-934"/>
    <x v="9"/>
    <s v="Finance"/>
    <s v="Corporate"/>
    <s v="Male"/>
    <n v="36"/>
    <s v="35-45"/>
    <d v="2009-01-17T00:00:00"/>
    <n v="238236"/>
    <n v="0.31"/>
    <n v="312089.16000000003"/>
    <s v="United States"/>
    <s v="Seattle"/>
    <m/>
    <n v="934"/>
    <n v="0"/>
    <s v="EMP-"/>
    <n v="17"/>
    <s v="Active"/>
  </r>
  <r>
    <s v="EMP-935"/>
    <x v="2"/>
    <s v="Finance"/>
    <s v="Corporate"/>
    <s v="Female"/>
    <n v="64"/>
    <s v="55-65"/>
    <d v="2012-12-21T00:00:00"/>
    <n v="153253"/>
    <n v="0.24"/>
    <n v="190033.72"/>
    <s v="United States"/>
    <s v="Austin"/>
    <m/>
    <n v="935"/>
    <n v="0"/>
    <s v="EMP-"/>
    <n v="13"/>
    <s v="Active"/>
  </r>
  <r>
    <s v="EMP-936"/>
    <x v="6"/>
    <s v="Accounting"/>
    <s v="Manufacturing"/>
    <s v="Female"/>
    <n v="34"/>
    <s v="25-35"/>
    <d v="2014-10-03T00:00:00"/>
    <n v="103707"/>
    <n v="0.09"/>
    <n v="113040.63"/>
    <s v="United States"/>
    <s v="Columbus"/>
    <m/>
    <n v="936"/>
    <n v="0"/>
    <s v="EMP-"/>
    <n v="11"/>
    <s v="Active"/>
  </r>
  <r>
    <s v="EMP-937"/>
    <x v="9"/>
    <s v="Accounting"/>
    <s v="Speciality Products"/>
    <s v="Female"/>
    <n v="41"/>
    <s v="35-45"/>
    <d v="2012-08-09T00:00:00"/>
    <n v="245360"/>
    <n v="0.37"/>
    <n v="336143.2"/>
    <s v="United States"/>
    <s v="Austin"/>
    <m/>
    <n v="937"/>
    <n v="0"/>
    <s v="EMP-"/>
    <n v="13"/>
    <s v="Active"/>
  </r>
  <r>
    <s v="EMP-938"/>
    <x v="25"/>
    <s v="Engineering"/>
    <s v="Speciality Products"/>
    <s v="Male"/>
    <n v="25"/>
    <s v="25-35"/>
    <d v="2021-07-08T00:00:00"/>
    <n v="67275"/>
    <n v="0"/>
    <n v="67275"/>
    <s v="United States"/>
    <s v="Columbus"/>
    <m/>
    <n v="938"/>
    <n v="0"/>
    <s v="EMP-"/>
    <n v="4"/>
    <s v="Active"/>
  </r>
  <r>
    <s v="EMP-939"/>
    <x v="6"/>
    <s v="IT"/>
    <s v="Manufacturing"/>
    <s v="Male"/>
    <n v="45"/>
    <s v="45-55"/>
    <d v="2015-01-22T00:00:00"/>
    <n v="101288"/>
    <n v="0.1"/>
    <n v="111416.8"/>
    <s v="United States"/>
    <s v="Phoenix"/>
    <m/>
    <n v="939"/>
    <n v="0"/>
    <s v="EMP-"/>
    <n v="11"/>
    <s v="Active"/>
  </r>
  <r>
    <s v="EMP-940"/>
    <x v="2"/>
    <s v="Human Resources"/>
    <s v="Speciality Products"/>
    <s v="Female"/>
    <n v="52"/>
    <s v="45-55"/>
    <d v="1993-08-28T00:00:00"/>
    <n v="177443"/>
    <n v="0.25"/>
    <n v="221803.75"/>
    <s v="Brazil"/>
    <s v="Sao Paulo"/>
    <m/>
    <n v="940"/>
    <n v="0"/>
    <s v="EMP-"/>
    <n v="32"/>
    <s v="Active"/>
  </r>
  <r>
    <s v="EMP-941"/>
    <x v="21"/>
    <s v="IT"/>
    <s v="Manufacturing"/>
    <s v="Female"/>
    <n v="37"/>
    <s v="35-45"/>
    <d v="2016-04-27T00:00:00"/>
    <n v="91400"/>
    <n v="0"/>
    <n v="91400"/>
    <s v="United States"/>
    <s v="Chicago"/>
    <m/>
    <n v="941"/>
    <n v="0"/>
    <s v="EMP-"/>
    <n v="9"/>
    <s v="Active"/>
  </r>
  <r>
    <s v="EMP-942"/>
    <x v="9"/>
    <s v="Human Resources"/>
    <s v="Corporate"/>
    <s v="Male"/>
    <n v="44"/>
    <s v="35-45"/>
    <d v="2007-09-10T00:00:00"/>
    <n v="181247"/>
    <n v="0.33"/>
    <n v="241058.51"/>
    <s v="Brazil"/>
    <s v="Sao Paulo"/>
    <m/>
    <n v="942"/>
    <n v="0"/>
    <s v="EMP-"/>
    <n v="18"/>
    <s v="Active"/>
  </r>
  <r>
    <s v="EMP-943"/>
    <x v="0"/>
    <s v="Human Resources"/>
    <s v="Research &amp; Development"/>
    <s v="Male"/>
    <n v="42"/>
    <s v="35-45"/>
    <d v="2003-10-20T00:00:00"/>
    <n v="135558"/>
    <n v="0.14000000000000001"/>
    <n v="154536.12"/>
    <s v="United States"/>
    <s v="Phoenix"/>
    <m/>
    <n v="943"/>
    <n v="0"/>
    <s v="EMP-"/>
    <n v="22"/>
    <s v="Active"/>
  </r>
  <r>
    <s v="EMP-944"/>
    <x v="7"/>
    <s v="Accounting"/>
    <s v="Speciality Products"/>
    <s v="Male"/>
    <n v="49"/>
    <s v="45-55"/>
    <d v="2011-12-17T00:00:00"/>
    <n v="56878"/>
    <n v="0"/>
    <n v="56878"/>
    <s v="United States"/>
    <s v="Seattle"/>
    <m/>
    <n v="944"/>
    <n v="0"/>
    <s v="EMP-"/>
    <n v="14"/>
    <s v="Active"/>
  </r>
  <r>
    <s v="EMP-945"/>
    <x v="30"/>
    <s v="IT"/>
    <s v="Speciality Products"/>
    <s v="Male"/>
    <n v="34"/>
    <s v="25-35"/>
    <d v="2019-09-20T00:00:00"/>
    <n v="94735"/>
    <n v="0"/>
    <n v="94735"/>
    <s v="China"/>
    <s v="Beijing"/>
    <m/>
    <n v="945"/>
    <n v="0"/>
    <s v="EMP-"/>
    <n v="6"/>
    <s v="Active"/>
  </r>
  <r>
    <s v="EMP-946"/>
    <x v="13"/>
    <s v="Sales"/>
    <s v="Manufacturing"/>
    <s v="Male"/>
    <n v="39"/>
    <s v="35-45"/>
    <d v="2007-05-27T00:00:00"/>
    <n v="51234"/>
    <n v="0"/>
    <n v="51234"/>
    <s v="United States"/>
    <s v="Seattle"/>
    <m/>
    <n v="946"/>
    <n v="0"/>
    <s v="EMP-"/>
    <n v="18"/>
    <s v="Active"/>
  </r>
  <r>
    <s v="EMP-947"/>
    <x v="9"/>
    <s v="Human Resources"/>
    <s v="Speciality Products"/>
    <s v="Male"/>
    <n v="31"/>
    <s v="25-35"/>
    <d v="2015-01-14T00:00:00"/>
    <n v="230025"/>
    <n v="0.34"/>
    <n v="308233.5"/>
    <s v="United States"/>
    <s v="Phoenix"/>
    <m/>
    <n v="947"/>
    <n v="0"/>
    <s v="EMP-"/>
    <n v="11"/>
    <s v="Active"/>
  </r>
  <r>
    <s v="EMP-948"/>
    <x v="0"/>
    <s v="Human Resources"/>
    <s v="Speciality Products"/>
    <s v="Female"/>
    <n v="36"/>
    <s v="35-45"/>
    <d v="2010-03-11T00:00:00"/>
    <n v="134006"/>
    <n v="0.13"/>
    <n v="151426.78"/>
    <s v="China"/>
    <s v="Beijing"/>
    <m/>
    <n v="948"/>
    <n v="0"/>
    <s v="EMP-"/>
    <n v="16"/>
    <s v="Active"/>
  </r>
  <r>
    <s v="EMP-949"/>
    <x v="6"/>
    <s v="Finance"/>
    <s v="Corporate"/>
    <s v="Female"/>
    <n v="61"/>
    <s v="55-65"/>
    <d v="2009-10-06T00:00:00"/>
    <n v="103096"/>
    <n v="7.0000000000000007E-2"/>
    <n v="110312.72"/>
    <s v="China"/>
    <s v="Beijing"/>
    <m/>
    <n v="949"/>
    <n v="0"/>
    <s v="EMP-"/>
    <n v="16"/>
    <s v="Active"/>
  </r>
  <r>
    <s v="EMP-950"/>
    <x v="7"/>
    <s v="Accounting"/>
    <s v="Manufacturing"/>
    <s v="Male"/>
    <n v="29"/>
    <s v="25-35"/>
    <d v="2016-08-20T00:00:00"/>
    <n v="58703"/>
    <n v="0"/>
    <n v="58703"/>
    <s v="United States"/>
    <s v="Columbus"/>
    <m/>
    <n v="950"/>
    <n v="0"/>
    <s v="EMP-"/>
    <n v="9"/>
    <s v="Active"/>
  </r>
  <r>
    <s v="EMP-951"/>
    <x v="0"/>
    <s v="IT"/>
    <s v="Speciality Products"/>
    <s v="Male"/>
    <n v="33"/>
    <s v="25-35"/>
    <d v="2012-12-24T00:00:00"/>
    <n v="132544"/>
    <n v="0.1"/>
    <n v="145798.39999999999"/>
    <s v="Brazil"/>
    <s v="Rio de Janerio"/>
    <m/>
    <n v="951"/>
    <n v="0"/>
    <s v="EMP-"/>
    <n v="13"/>
    <s v="Active"/>
  </r>
  <r>
    <s v="EMP-952"/>
    <x v="6"/>
    <s v="Finance"/>
    <s v="Manufacturing"/>
    <s v="Male"/>
    <n v="32"/>
    <s v="25-35"/>
    <d v="2020-04-15T00:00:00"/>
    <n v="126671"/>
    <n v="0.09"/>
    <n v="138071.39000000001"/>
    <s v="United States"/>
    <s v="Miami"/>
    <m/>
    <n v="952"/>
    <n v="0"/>
    <s v="EMP-"/>
    <n v="5"/>
    <s v="Active"/>
  </r>
  <r>
    <s v="EMP-953"/>
    <x v="5"/>
    <s v="Sales"/>
    <s v="Research &amp; Development"/>
    <s v="Female"/>
    <n v="33"/>
    <s v="25-35"/>
    <d v="2021-01-22T00:00:00"/>
    <n v="56405"/>
    <n v="0"/>
    <n v="56405"/>
    <s v="United States"/>
    <s v="Chicago"/>
    <m/>
    <n v="953"/>
    <n v="0"/>
    <s v="EMP-"/>
    <n v="5"/>
    <s v="Active"/>
  </r>
  <r>
    <s v="EMP-954"/>
    <x v="3"/>
    <s v="IT"/>
    <s v="Speciality Products"/>
    <s v="Female"/>
    <n v="36"/>
    <s v="35-45"/>
    <d v="2014-11-29T00:00:00"/>
    <n v="88730"/>
    <n v="0.08"/>
    <n v="95828.4"/>
    <s v="China"/>
    <s v="Chongqing"/>
    <m/>
    <n v="954"/>
    <n v="0"/>
    <s v="EMP-"/>
    <n v="11"/>
    <s v="Active"/>
  </r>
  <r>
    <s v="EMP-955"/>
    <x v="13"/>
    <s v="Finance"/>
    <s v="Manufacturing"/>
    <s v="Male"/>
    <n v="39"/>
    <s v="35-45"/>
    <d v="2008-09-17T00:00:00"/>
    <n v="62861"/>
    <n v="0"/>
    <n v="62861"/>
    <s v="United States"/>
    <s v="Seattle"/>
    <m/>
    <n v="955"/>
    <n v="0"/>
    <s v="EMP-"/>
    <n v="17"/>
    <s v="Active"/>
  </r>
  <r>
    <s v="EMP-956"/>
    <x v="2"/>
    <s v="Human Resources"/>
    <s v="Corporate"/>
    <s v="Female"/>
    <n v="53"/>
    <s v="45-55"/>
    <d v="2006-07-21T00:00:00"/>
    <n v="151246"/>
    <n v="0.21"/>
    <n v="183007.66"/>
    <s v="Brazil"/>
    <s v="Sao Paulo"/>
    <m/>
    <n v="956"/>
    <n v="0"/>
    <s v="EMP-"/>
    <n v="19"/>
    <s v="Active"/>
  </r>
  <r>
    <s v="EMP-957"/>
    <x v="0"/>
    <s v="IT"/>
    <s v="Manufacturing"/>
    <s v="Female"/>
    <n v="53"/>
    <s v="45-55"/>
    <d v="1997-04-12T00:00:00"/>
    <n v="154388"/>
    <n v="0.1"/>
    <n v="169826.8"/>
    <s v="United States"/>
    <s v="Seattle"/>
    <m/>
    <n v="957"/>
    <n v="0"/>
    <s v="EMP-"/>
    <n v="28"/>
    <s v="Active"/>
  </r>
  <r>
    <s v="EMP-958"/>
    <x v="2"/>
    <s v="Human Resources"/>
    <s v="Manufacturing"/>
    <s v="Female"/>
    <n v="54"/>
    <s v="45-55"/>
    <d v="1994-09-26T00:00:00"/>
    <n v="162978"/>
    <n v="0.17"/>
    <n v="190684.26"/>
    <s v="United States"/>
    <s v="Miami"/>
    <d v="2004-05-24T00:00:00"/>
    <n v="958"/>
    <n v="1"/>
    <s v="EMP-"/>
    <n v="9"/>
    <s v="Inactive"/>
  </r>
  <r>
    <s v="EMP-959"/>
    <x v="29"/>
    <s v="IT"/>
    <s v="Speciality Products"/>
    <s v="Male"/>
    <n v="55"/>
    <s v="55-65"/>
    <d v="1993-11-17T00:00:00"/>
    <n v="80170"/>
    <n v="0"/>
    <n v="80170"/>
    <s v="United States"/>
    <s v="Miami"/>
    <m/>
    <n v="959"/>
    <n v="0"/>
    <s v="EMP-"/>
    <n v="32"/>
    <s v="Active"/>
  </r>
  <r>
    <s v="EMP-960"/>
    <x v="4"/>
    <s v="Accounting"/>
    <s v="Manufacturing"/>
    <s v="Female"/>
    <n v="44"/>
    <s v="35-45"/>
    <d v="2021-04-28T00:00:00"/>
    <n v="98520"/>
    <n v="0"/>
    <n v="98520"/>
    <s v="United States"/>
    <s v="Miami"/>
    <m/>
    <n v="960"/>
    <n v="0"/>
    <s v="EMP-"/>
    <n v="4"/>
    <s v="Active"/>
  </r>
  <r>
    <s v="EMP-961"/>
    <x v="6"/>
    <s v="Finance"/>
    <s v="Manufacturing"/>
    <s v="Male"/>
    <n v="52"/>
    <s v="45-55"/>
    <d v="1999-12-29T00:00:00"/>
    <n v="116527"/>
    <n v="7.0000000000000007E-2"/>
    <n v="124683.89"/>
    <s v="United States"/>
    <s v="Phoenix"/>
    <m/>
    <n v="961"/>
    <n v="0"/>
    <s v="EMP-"/>
    <n v="26"/>
    <s v="Active"/>
  </r>
  <r>
    <s v="EMP-962"/>
    <x v="2"/>
    <s v="Sales"/>
    <s v="Research &amp; Development"/>
    <s v="Male"/>
    <n v="27"/>
    <s v="25-35"/>
    <d v="2019-11-07T00:00:00"/>
    <n v="174607"/>
    <n v="0.28999999999999998"/>
    <n v="225243.03"/>
    <s v="United States"/>
    <s v="Columbus"/>
    <m/>
    <n v="962"/>
    <n v="0"/>
    <s v="EMP-"/>
    <n v="6"/>
    <s v="Active"/>
  </r>
  <r>
    <s v="EMP-963"/>
    <x v="13"/>
    <s v="Accounting"/>
    <s v="Research &amp; Development"/>
    <s v="Male"/>
    <n v="58"/>
    <s v="55-65"/>
    <d v="2006-04-12T00:00:00"/>
    <n v="64202"/>
    <n v="0"/>
    <n v="64202"/>
    <s v="United States"/>
    <s v="Columbus"/>
    <m/>
    <n v="963"/>
    <n v="0"/>
    <s v="EMP-"/>
    <n v="19"/>
    <s v="Active"/>
  </r>
  <r>
    <s v="EMP-964"/>
    <x v="13"/>
    <s v="Accounting"/>
    <s v="Corporate"/>
    <s v="Male"/>
    <n v="49"/>
    <s v="45-55"/>
    <d v="2019-07-25T00:00:00"/>
    <n v="50883"/>
    <n v="0"/>
    <n v="50883"/>
    <s v="China"/>
    <s v="Chongqing"/>
    <d v="2021-03-02T00:00:00"/>
    <n v="964"/>
    <n v="1"/>
    <s v="EMP-"/>
    <n v="1"/>
    <s v="Inactive"/>
  </r>
  <r>
    <s v="EMP-965"/>
    <x v="23"/>
    <s v="IT"/>
    <s v="Speciality Products"/>
    <s v="Female"/>
    <n v="36"/>
    <s v="35-45"/>
    <d v="2016-11-03T00:00:00"/>
    <n v="94618"/>
    <n v="0"/>
    <n v="94618"/>
    <s v="United States"/>
    <s v="Columbus"/>
    <m/>
    <n v="965"/>
    <n v="0"/>
    <s v="EMP-"/>
    <n v="9"/>
    <s v="Active"/>
  </r>
  <r>
    <s v="EMP-966"/>
    <x v="2"/>
    <s v="Marketing"/>
    <s v="Research &amp; Development"/>
    <s v="Male"/>
    <n v="26"/>
    <s v="25-35"/>
    <d v="2019-10-15T00:00:00"/>
    <n v="151556"/>
    <n v="0.2"/>
    <n v="181867.2"/>
    <s v="United States"/>
    <s v="Miami"/>
    <m/>
    <n v="966"/>
    <n v="0"/>
    <s v="EMP-"/>
    <n v="6"/>
    <s v="Active"/>
  </r>
  <r>
    <s v="EMP-967"/>
    <x v="25"/>
    <s v="Engineering"/>
    <s v="Research &amp; Development"/>
    <s v="Female"/>
    <n v="37"/>
    <s v="35-45"/>
    <d v="2020-03-08T00:00:00"/>
    <n v="80659"/>
    <n v="0"/>
    <n v="80659"/>
    <s v="United States"/>
    <s v="Phoenix"/>
    <m/>
    <n v="967"/>
    <n v="0"/>
    <s v="EMP-"/>
    <n v="6"/>
    <s v="Active"/>
  </r>
  <r>
    <s v="EMP-968"/>
    <x v="2"/>
    <s v="Human Resources"/>
    <s v="Speciality Products"/>
    <s v="Male"/>
    <n v="47"/>
    <s v="45-55"/>
    <d v="2019-11-03T00:00:00"/>
    <n v="195385"/>
    <n v="0.21"/>
    <n v="236415.85"/>
    <s v="China"/>
    <s v="Chengdu"/>
    <m/>
    <n v="968"/>
    <n v="0"/>
    <s v="EMP-"/>
    <n v="6"/>
    <s v="Active"/>
  </r>
  <r>
    <s v="EMP-969"/>
    <x v="28"/>
    <s v="IT"/>
    <s v="Speciality Products"/>
    <s v="Male"/>
    <n v="29"/>
    <s v="25-35"/>
    <d v="2016-05-19T00:00:00"/>
    <n v="52693"/>
    <n v="0"/>
    <n v="52693"/>
    <s v="Brazil"/>
    <s v="Rio de Janerio"/>
    <m/>
    <n v="969"/>
    <n v="0"/>
    <s v="EMP-"/>
    <n v="9"/>
    <s v="Active"/>
  </r>
  <r>
    <s v="EMP-970"/>
    <x v="32"/>
    <s v="IT"/>
    <s v="Research &amp; Development"/>
    <s v="Female"/>
    <n v="58"/>
    <s v="55-65"/>
    <d v="2016-04-26T00:00:00"/>
    <n v="72045"/>
    <n v="0"/>
    <n v="72045"/>
    <s v="United States"/>
    <s v="Phoenix"/>
    <m/>
    <n v="970"/>
    <n v="0"/>
    <s v="EMP-"/>
    <n v="9"/>
    <s v="Active"/>
  </r>
  <r>
    <s v="EMP-971"/>
    <x v="13"/>
    <s v="Marketing"/>
    <s v="Manufacturing"/>
    <s v="Male"/>
    <n v="47"/>
    <s v="45-55"/>
    <d v="2005-11-28T00:00:00"/>
    <n v="62749"/>
    <n v="0"/>
    <n v="62749"/>
    <s v="Brazil"/>
    <s v="Manaus"/>
    <m/>
    <n v="971"/>
    <n v="0"/>
    <s v="EMP-"/>
    <n v="20"/>
    <s v="Active"/>
  </r>
  <r>
    <s v="EMP-972"/>
    <x v="0"/>
    <s v="Marketing"/>
    <s v="Speciality Products"/>
    <s v="Male"/>
    <n v="52"/>
    <s v="45-55"/>
    <d v="2018-06-04T00:00:00"/>
    <n v="154884"/>
    <n v="0.1"/>
    <n v="170372.4"/>
    <s v="China"/>
    <s v="Shanghai"/>
    <m/>
    <n v="972"/>
    <n v="0"/>
    <s v="EMP-"/>
    <n v="7"/>
    <s v="Active"/>
  </r>
  <r>
    <s v="EMP-973"/>
    <x v="23"/>
    <s v="IT"/>
    <s v="Research &amp; Development"/>
    <s v="Male"/>
    <n v="61"/>
    <s v="55-65"/>
    <d v="2016-03-08T00:00:00"/>
    <n v="96566"/>
    <n v="0"/>
    <n v="96566"/>
    <s v="United States"/>
    <s v="Columbus"/>
    <m/>
    <n v="973"/>
    <n v="0"/>
    <s v="EMP-"/>
    <n v="10"/>
    <s v="Active"/>
  </r>
  <r>
    <s v="EMP-974"/>
    <x v="28"/>
    <s v="IT"/>
    <s v="Research &amp; Development"/>
    <s v="Male"/>
    <n v="45"/>
    <s v="45-55"/>
    <d v="2001-08-23T00:00:00"/>
    <n v="54994"/>
    <n v="0"/>
    <n v="54994"/>
    <s v="United States"/>
    <s v="Columbus"/>
    <m/>
    <n v="974"/>
    <n v="0"/>
    <s v="EMP-"/>
    <n v="24"/>
    <s v="Active"/>
  </r>
  <r>
    <s v="EMP-975"/>
    <x v="32"/>
    <s v="IT"/>
    <s v="Corporate"/>
    <s v="Female"/>
    <n v="40"/>
    <s v="35-45"/>
    <d v="2012-02-05T00:00:00"/>
    <n v="61523"/>
    <n v="0"/>
    <n v="61523"/>
    <s v="United States"/>
    <s v="Columbus"/>
    <m/>
    <n v="975"/>
    <n v="0"/>
    <s v="EMP-"/>
    <n v="14"/>
    <s v="Active"/>
  </r>
  <r>
    <s v="EMP-976"/>
    <x v="9"/>
    <s v="Human Resources"/>
    <s v="Corporate"/>
    <s v="Male"/>
    <n v="45"/>
    <s v="45-55"/>
    <d v="2010-12-12T00:00:00"/>
    <n v="190512"/>
    <n v="0.32"/>
    <n v="251475.84"/>
    <s v="United States"/>
    <s v="Columbus"/>
    <m/>
    <n v="976"/>
    <n v="0"/>
    <s v="EMP-"/>
    <n v="15"/>
    <s v="Active"/>
  </r>
  <r>
    <s v="EMP-977"/>
    <x v="8"/>
    <s v="Engineering"/>
    <s v="Speciality Products"/>
    <s v="Female"/>
    <n v="37"/>
    <s v="35-45"/>
    <d v="2013-02-13T00:00:00"/>
    <n v="124827"/>
    <n v="0"/>
    <n v="124827"/>
    <s v="China"/>
    <s v="Beijing"/>
    <m/>
    <n v="977"/>
    <n v="0"/>
    <s v="EMP-"/>
    <n v="13"/>
    <s v="Active"/>
  </r>
  <r>
    <s v="EMP-978"/>
    <x v="6"/>
    <s v="Accounting"/>
    <s v="Manufacturing"/>
    <s v="Male"/>
    <n v="57"/>
    <s v="55-65"/>
    <d v="2019-01-19T00:00:00"/>
    <n v="101577"/>
    <n v="0.05"/>
    <n v="106655.85"/>
    <s v="United States"/>
    <s v="Chicago"/>
    <m/>
    <n v="978"/>
    <n v="0"/>
    <s v="EMP-"/>
    <n v="7"/>
    <s v="Active"/>
  </r>
  <r>
    <s v="EMP-979"/>
    <x v="6"/>
    <s v="Accounting"/>
    <s v="Manufacturing"/>
    <s v="Female"/>
    <n v="44"/>
    <s v="35-45"/>
    <d v="2005-10-17T00:00:00"/>
    <n v="105223"/>
    <n v="0.1"/>
    <n v="115745.3"/>
    <s v="United States"/>
    <s v="Phoenix"/>
    <m/>
    <n v="979"/>
    <n v="0"/>
    <s v="EMP-"/>
    <n v="20"/>
    <s v="Active"/>
  </r>
  <r>
    <s v="EMP-980"/>
    <x v="30"/>
    <s v="IT"/>
    <s v="Corporate"/>
    <s v="Male"/>
    <n v="48"/>
    <s v="45-55"/>
    <d v="2008-07-06T00:00:00"/>
    <n v="94815"/>
    <n v="0"/>
    <n v="94815"/>
    <s v="United States"/>
    <s v="Chicago"/>
    <m/>
    <n v="980"/>
    <n v="0"/>
    <s v="EMP-"/>
    <n v="17"/>
    <s v="Active"/>
  </r>
  <r>
    <s v="EMP-981"/>
    <x v="6"/>
    <s v="Accounting"/>
    <s v="Speciality Products"/>
    <s v="Female"/>
    <n v="25"/>
    <s v="25-35"/>
    <d v="2021-12-15T00:00:00"/>
    <n v="114893"/>
    <n v="0.06"/>
    <n v="121786.58"/>
    <s v="China"/>
    <s v="Chengdu"/>
    <m/>
    <n v="981"/>
    <n v="0"/>
    <s v="EMP-"/>
    <n v="4"/>
    <s v="Active"/>
  </r>
  <r>
    <s v="EMP-982"/>
    <x v="4"/>
    <s v="Marketing"/>
    <s v="Speciality Products"/>
    <s v="Female"/>
    <n v="35"/>
    <s v="35-45"/>
    <d v="2017-01-10T00:00:00"/>
    <n v="80622"/>
    <n v="0"/>
    <n v="80622"/>
    <s v="United States"/>
    <s v="Austin"/>
    <m/>
    <n v="982"/>
    <n v="0"/>
    <s v="EMP-"/>
    <n v="9"/>
    <s v="Active"/>
  </r>
  <r>
    <s v="EMP-983"/>
    <x v="9"/>
    <s v="IT"/>
    <s v="Speciality Products"/>
    <s v="Female"/>
    <n v="57"/>
    <s v="55-65"/>
    <d v="2016-11-11T00:00:00"/>
    <n v="246589"/>
    <n v="0.33"/>
    <n v="327963.37"/>
    <s v="United States"/>
    <s v="Phoenix"/>
    <d v="2017-03-26T00:00:00"/>
    <n v="983"/>
    <n v="1"/>
    <s v="EMP-"/>
    <n v="0"/>
    <s v="Inactive"/>
  </r>
  <r>
    <s v="EMP-984"/>
    <x v="6"/>
    <s v="Marketing"/>
    <s v="Speciality Products"/>
    <s v="Male"/>
    <n v="49"/>
    <s v="45-55"/>
    <d v="2018-05-20T00:00:00"/>
    <n v="119397"/>
    <n v="0.09"/>
    <n v="130142.73"/>
    <s v="China"/>
    <s v="Beijing"/>
    <d v="2019-03-14T00:00:00"/>
    <n v="984"/>
    <n v="1"/>
    <s v="EMP-"/>
    <n v="0"/>
    <s v="Inactive"/>
  </r>
  <r>
    <s v="EMP-985"/>
    <x v="2"/>
    <s v="Sales"/>
    <s v="Corporate"/>
    <s v="Female"/>
    <n v="25"/>
    <s v="25-35"/>
    <d v="2021-12-19T00:00:00"/>
    <n v="150666"/>
    <n v="0.23"/>
    <n v="185319.18"/>
    <s v="China"/>
    <s v="Chengdu"/>
    <m/>
    <n v="985"/>
    <n v="0"/>
    <s v="EMP-"/>
    <n v="4"/>
    <s v="Active"/>
  </r>
  <r>
    <s v="EMP-986"/>
    <x v="0"/>
    <s v="IT"/>
    <s v="Research &amp; Development"/>
    <s v="Female"/>
    <n v="46"/>
    <s v="45-55"/>
    <d v="2002-01-09T00:00:00"/>
    <n v="148035"/>
    <n v="0.14000000000000001"/>
    <n v="168759.9"/>
    <s v="United States"/>
    <s v="Phoenix"/>
    <m/>
    <n v="986"/>
    <n v="0"/>
    <s v="EMP-"/>
    <n v="24"/>
    <s v="Active"/>
  </r>
  <r>
    <s v="EMP-987"/>
    <x v="2"/>
    <s v="Finance"/>
    <s v="Corporate"/>
    <s v="Male"/>
    <n v="60"/>
    <s v="55-65"/>
    <d v="2017-06-05T00:00:00"/>
    <n v="158898"/>
    <n v="0.18"/>
    <n v="187499.64"/>
    <s v="United States"/>
    <s v="Miami"/>
    <m/>
    <n v="987"/>
    <n v="0"/>
    <s v="EMP-"/>
    <n v="8"/>
    <s v="Active"/>
  </r>
  <r>
    <s v="EMP-988"/>
    <x v="17"/>
    <s v="Engineering"/>
    <s v="Corporate"/>
    <s v="Female"/>
    <n v="45"/>
    <s v="45-55"/>
    <d v="2012-02-28T00:00:00"/>
    <n v="89659"/>
    <n v="0"/>
    <n v="89659"/>
    <s v="China"/>
    <s v="Beijing"/>
    <m/>
    <n v="988"/>
    <n v="0"/>
    <s v="EMP-"/>
    <n v="14"/>
    <s v="Active"/>
  </r>
  <r>
    <s v="EMP-989"/>
    <x v="2"/>
    <s v="Sales"/>
    <s v="Speciality Products"/>
    <s v="Female"/>
    <n v="39"/>
    <s v="35-45"/>
    <d v="2007-04-29T00:00:00"/>
    <n v="171487"/>
    <n v="0.23"/>
    <n v="210929.01"/>
    <s v="United States"/>
    <s v="Phoenix"/>
    <m/>
    <n v="989"/>
    <n v="0"/>
    <s v="EMP-"/>
    <n v="18"/>
    <s v="Active"/>
  </r>
  <r>
    <s v="EMP-990"/>
    <x v="9"/>
    <s v="Sales"/>
    <s v="Manufacturing"/>
    <s v="Female"/>
    <n v="43"/>
    <s v="35-45"/>
    <d v="2016-08-21T00:00:00"/>
    <n v="258498"/>
    <n v="0.35"/>
    <n v="348972.3"/>
    <s v="United States"/>
    <s v="Columbus"/>
    <m/>
    <n v="990"/>
    <n v="0"/>
    <s v="EMP-"/>
    <n v="9"/>
    <s v="Active"/>
  </r>
  <r>
    <s v="EMP-991"/>
    <x v="0"/>
    <s v="IT"/>
    <s v="Research &amp; Development"/>
    <s v="Male"/>
    <n v="37"/>
    <s v="35-45"/>
    <d v="2010-11-29T00:00:00"/>
    <n v="146961"/>
    <n v="0.11"/>
    <n v="163126.71"/>
    <s v="United States"/>
    <s v="Columbus"/>
    <m/>
    <n v="991"/>
    <n v="0"/>
    <s v="EMP-"/>
    <n v="15"/>
    <s v="Active"/>
  </r>
  <r>
    <s v="EMP-992"/>
    <x v="15"/>
    <s v="Human Resources"/>
    <s v="Research &amp; Development"/>
    <s v="Male"/>
    <n v="48"/>
    <s v="45-55"/>
    <d v="1998-04-22T00:00:00"/>
    <n v="85369"/>
    <n v="0"/>
    <n v="85369"/>
    <s v="Brazil"/>
    <s v="Manaus"/>
    <d v="2004-11-27T00:00:00"/>
    <n v="992"/>
    <n v="1"/>
    <s v="EMP-"/>
    <n v="6"/>
    <s v="Inactive"/>
  </r>
  <r>
    <s v="EMP-993"/>
    <x v="1"/>
    <s v="IT"/>
    <s v="Manufacturing"/>
    <s v="Male"/>
    <n v="30"/>
    <s v="25-35"/>
    <d v="2015-06-14T00:00:00"/>
    <n v="67489"/>
    <n v="0"/>
    <n v="67489"/>
    <s v="United States"/>
    <s v="Chicago"/>
    <m/>
    <n v="993"/>
    <n v="0"/>
    <s v="EMP-"/>
    <n v="10"/>
    <s v="Active"/>
  </r>
  <r>
    <s v="EMP-994"/>
    <x v="2"/>
    <s v="IT"/>
    <s v="Manufacturing"/>
    <s v="Female"/>
    <n v="46"/>
    <s v="45-55"/>
    <d v="2018-10-06T00:00:00"/>
    <n v="166259"/>
    <n v="0.17"/>
    <n v="194523.03"/>
    <s v="United States"/>
    <s v="Chicago"/>
    <m/>
    <n v="994"/>
    <n v="0"/>
    <s v="EMP-"/>
    <n v="7"/>
    <s v="Active"/>
  </r>
  <r>
    <s v="EMP-995"/>
    <x v="28"/>
    <s v="IT"/>
    <s v="Corporate"/>
    <s v="Female"/>
    <n v="55"/>
    <s v="55-65"/>
    <d v="2009-01-07T00:00:00"/>
    <n v="47032"/>
    <n v="0"/>
    <n v="47032"/>
    <s v="United States"/>
    <s v="Columbus"/>
    <m/>
    <n v="995"/>
    <n v="0"/>
    <s v="EMP-"/>
    <n v="17"/>
    <s v="Active"/>
  </r>
  <r>
    <s v="EMP-996"/>
    <x v="4"/>
    <s v="Marketing"/>
    <s v="Speciality Products"/>
    <s v="Male"/>
    <n v="33"/>
    <s v="25-35"/>
    <d v="2016-09-18T00:00:00"/>
    <n v="98427"/>
    <n v="0"/>
    <n v="98427"/>
    <s v="United States"/>
    <s v="Columbus"/>
    <m/>
    <n v="996"/>
    <n v="0"/>
    <s v="EMP-"/>
    <n v="9"/>
    <s v="Active"/>
  </r>
  <r>
    <s v="EMP-997"/>
    <x v="7"/>
    <s v="Finance"/>
    <s v="Speciality Products"/>
    <s v="Female"/>
    <n v="44"/>
    <s v="35-45"/>
    <d v="2010-05-31T00:00:00"/>
    <n v="47387"/>
    <n v="0"/>
    <n v="47387"/>
    <s v="China"/>
    <s v="Chengdu"/>
    <d v="2018-01-08T00:00:00"/>
    <n v="997"/>
    <n v="1"/>
    <s v="EMP-"/>
    <n v="7"/>
    <s v="In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B7EB0-DC88-453A-8A74-29DF7237800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3:L1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EMP 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84BD9-E141-4174-8352-C7BECABF197E}" name="PivotTable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7:B10"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Total Employees" fld="0" subtotal="count" baseField="1" baseItem="0"/>
  </dataFields>
  <chartFormats count="7">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CD15D-E047-4801-9F10-AB10C250C9C5}"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O11"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EMP ID" fld="0" subtotal="count" baseField="0" baseItem="0"/>
  </dataFields>
  <chartFormats count="3">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275148-0E6E-4415-B9DF-1AF2459A4BE3}"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2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 I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5E14A-695D-4525-833E-1E84490198D8}"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O51" firstHeaderRow="1" firstDataRow="1" firstDataCol="1"/>
  <pivotFields count="5">
    <pivotField dataField="1" subtotalTop="0" showAll="0" defaultSubtotal="0"/>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EMP ID" fld="0" subtotal="count" baseField="0" baseItem="0"/>
  </dataField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7A25F4-1820-44BB-967A-CB90F9AB107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 ID" fld="0" subtotal="count" baseField="0" baseItem="0"/>
  </dataFields>
  <chartFormats count="8">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D805C-CB03-4D9F-A15C-18D053FE2C20}"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I15" firstHeaderRow="1" firstDataRow="1" firstDataCol="1"/>
  <pivotFields count="19">
    <pivotField showAll="0"/>
    <pivotField axis="axisRow" showAll="0" measureFilter="1" sortType="descending">
      <items count="34">
        <item x="9"/>
        <item x="22"/>
        <item x="1"/>
        <item x="28"/>
        <item x="27"/>
        <item x="0"/>
        <item x="15"/>
        <item x="4"/>
        <item x="26"/>
        <item x="29"/>
        <item x="31"/>
        <item x="10"/>
        <item x="19"/>
        <item x="24"/>
        <item x="23"/>
        <item x="32"/>
        <item x="6"/>
        <item x="30"/>
        <item x="12"/>
        <item x="16"/>
        <item x="17"/>
        <item x="14"/>
        <item x="11"/>
        <item x="2"/>
        <item x="25"/>
        <item x="8"/>
        <item x="3"/>
        <item x="21"/>
        <item x="20"/>
        <item x="18"/>
        <item x="13"/>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1">
    <i>
      <x/>
    </i>
    <i>
      <x v="23"/>
    </i>
    <i>
      <x v="5"/>
    </i>
    <i>
      <x v="16"/>
    </i>
    <i>
      <x v="7"/>
    </i>
    <i>
      <x v="30"/>
    </i>
    <i>
      <x v="31"/>
    </i>
    <i>
      <x v="22"/>
    </i>
    <i>
      <x v="26"/>
    </i>
    <i>
      <x v="11"/>
    </i>
    <i t="grand">
      <x/>
    </i>
  </rowItems>
  <colItems count="1">
    <i/>
  </colItems>
  <dataFields count="1">
    <dataField name="Sum of Total Salary" fld="10" baseField="0" baseItem="0"/>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B4BEB4-DF95-4431-A547-0971F9533DB4}"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9" firstHeaderRow="1" firstDataRow="1" firstDataCol="1"/>
  <pivotFields count="5">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EMP ID" fld="0" subtotal="count" baseField="0" baseItem="0"/>
  </dataField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1">
      <autoFilter ref="A1">
        <filterColumn colId="0">
          <top10 top="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A1A909-35C0-444E-946E-DF792B4BFFD9}"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F15" firstHeaderRow="1"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4"/>
    </i>
    <i>
      <x v="8"/>
    </i>
    <i>
      <x v="9"/>
    </i>
    <i>
      <x v="6"/>
    </i>
    <i>
      <x v="7"/>
    </i>
    <i>
      <x v="2"/>
    </i>
    <i>
      <x v="1"/>
    </i>
    <i>
      <x v="3"/>
    </i>
    <i>
      <x/>
    </i>
    <i>
      <x v="5"/>
    </i>
    <i t="grand">
      <x/>
    </i>
  </rowItems>
  <colItems count="1">
    <i/>
  </colItems>
  <dataFields count="1">
    <dataField name="Count of EMP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434381-4C31-49D2-976E-D50CBBD1073E}"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Salary" fld="0" baseField="0" baseItem="0" numFmtId="1"/>
  </dataFields>
  <formats count="1">
    <format dxfId="0">
      <pivotArea outline="0" collapsedLevelsAreSubtotals="1" fieldPosition="0"/>
    </format>
  </format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57AD83-400B-4B95-BCBB-A611D74BF1BE}"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22:J28" firstHeaderRow="1" firstDataRow="2" firstDataCol="1" rowPageCount="1" colPageCount="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Fields count="1">
    <field x="3"/>
  </colFields>
  <colItems count="2">
    <i>
      <x/>
    </i>
    <i>
      <x v="1"/>
    </i>
  </colItems>
  <pageFields count="1">
    <pageField fld="2" hier="18" name="[EMP_RAW_Data].[Employee Status].[All]" cap="All"/>
  </pageFields>
  <dataFields count="1">
    <dataField name="Count of EMP ID" fld="0" subtotal="count" baseField="0" baseItem="0"/>
  </dataField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710AAF-C493-4BB3-B06E-D2086CC6464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EMP ID" fld="0" subtotal="count" baseField="0" baseItem="0"/>
  </dataFields>
  <pivotHierarchies count="2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EMP_RAW_Data">
        <x15:activeTabTopLevelEntity name="[EMP_RAW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F298AE-E200-4250-AC92-D1A5033FF996}" autoFormatId="16" applyNumberFormats="0" applyBorderFormats="0" applyFontFormats="0" applyPatternFormats="0" applyAlignmentFormats="0" applyWidthHeightFormats="0">
  <queryTableRefresh nextId="21" unboundColumnsRight="2">
    <queryTableFields count="19">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Salary" tableColumnId="11"/>
      <queryTableField id="12" name="Country" tableColumnId="12"/>
      <queryTableField id="13" name="City" tableColumnId="13"/>
      <queryTableField id="14" name="Exit Date" tableColumnId="14"/>
      <queryTableField id="15" name="Index" tableColumnId="15"/>
      <queryTableField id="16" name="Status" tableColumnId="16"/>
      <queryTableField id="17" name="Custom" tableColumnId="17"/>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CC3ECAC-E91A-4E06-87C6-39BB23BD791F}" sourceName="[EMP_RAW_Data].[Department]">
  <pivotTables>
    <pivotTable tabId="5" name="PivotTable3"/>
    <pivotTable tabId="5" name="PivotTable10"/>
    <pivotTable tabId="5" name="PivotTable11"/>
    <pivotTable tabId="5" name="PivotTable12"/>
    <pivotTable tabId="5" name="PivotTable13"/>
    <pivotTable tabId="5" name="PivotTable14"/>
    <pivotTable tabId="5" name="PivotTable15"/>
    <pivotTable tabId="5" name="PivotTable4"/>
    <pivotTable tabId="5" name="PivotTable5"/>
    <pivotTable tabId="5" name="PivotTable6"/>
    <pivotTable tabId="5" name="PivotTable7"/>
  </pivotTables>
  <data>
    <olap pivotCacheId="1104171721">
      <levels count="2">
        <level uniqueName="[EMP_RAW_Data].[Department].[(All)]" sourceCaption="(All)" count="0"/>
        <level uniqueName="[EMP_RAW_Data].[Department].[Department]" sourceCaption="Department" count="7">
          <ranges>
            <range startItem="0">
              <i n="[EMP_RAW_Data].[Department].&amp;[Accounting]" c="Accounting"/>
              <i n="[EMP_RAW_Data].[Department].&amp;[Engineering]" c="Engineering"/>
              <i n="[EMP_RAW_Data].[Department].&amp;[Finance]" c="Finance"/>
              <i n="[EMP_RAW_Data].[Department].&amp;[Human Resources]" c="Human Resources"/>
              <i n="[EMP_RAW_Data].[Department].&amp;[IT]" c="IT"/>
              <i n="[EMP_RAW_Data].[Department].&amp;[Marketing]" c="Marketing"/>
              <i n="[EMP_RAW_Data].[Department].&amp;[Sales]" c="Sales"/>
            </range>
          </ranges>
        </level>
      </levels>
      <selections count="1">
        <selection n="[EMP_RAW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E1063C-80EE-49A7-AB7B-3AB01D7BFE1B}" sourceName="[EMP_RAW_Data].[Gender]">
  <pivotTables>
    <pivotTable tabId="5" name="PivotTable3"/>
    <pivotTable tabId="5" name="PivotTable10"/>
    <pivotTable tabId="5" name="PivotTable11"/>
    <pivotTable tabId="5" name="PivotTable12"/>
    <pivotTable tabId="5" name="PivotTable13"/>
    <pivotTable tabId="5" name="PivotTable14"/>
    <pivotTable tabId="5" name="PivotTable15"/>
    <pivotTable tabId="5" name="PivotTable4"/>
    <pivotTable tabId="5" name="PivotTable5"/>
    <pivotTable tabId="5" name="PivotTable6"/>
    <pivotTable tabId="5" name="PivotTable7"/>
  </pivotTables>
  <data>
    <olap pivotCacheId="1104171721">
      <levels count="2">
        <level uniqueName="[EMP_RAW_Data].[Gender].[(All)]" sourceCaption="(All)" count="0"/>
        <level uniqueName="[EMP_RAW_Data].[Gender].[Gender]" sourceCaption="Gender" count="2">
          <ranges>
            <range startItem="0">
              <i n="[EMP_RAW_Data].[Gender].&amp;[Female]" c="Female"/>
              <i n="[EMP_RAW_Data].[Gender].&amp;[Male]" c="Male"/>
            </range>
          </ranges>
        </level>
      </levels>
      <selections count="1">
        <selection n="[EMP_RAW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126F0E2-5C09-424E-9626-451CECA94B88}" sourceName="[EMP_RAW_Data].[Country]">
  <pivotTables>
    <pivotTable tabId="5" name="PivotTable3"/>
    <pivotTable tabId="5" name="PivotTable10"/>
    <pivotTable tabId="5" name="PivotTable11"/>
    <pivotTable tabId="5" name="PivotTable12"/>
    <pivotTable tabId="5" name="PivotTable13"/>
    <pivotTable tabId="5" name="PivotTable14"/>
    <pivotTable tabId="5" name="PivotTable15"/>
    <pivotTable tabId="5" name="PivotTable4"/>
    <pivotTable tabId="5" name="PivotTable5"/>
    <pivotTable tabId="5" name="PivotTable6"/>
    <pivotTable tabId="5" name="PivotTable7"/>
  </pivotTables>
  <data>
    <olap pivotCacheId="1104171721">
      <levels count="2">
        <level uniqueName="[EMP_RAW_Data].[Country].[(All)]" sourceCaption="(All)" count="0"/>
        <level uniqueName="[EMP_RAW_Data].[Country].[Country]" sourceCaption="Country" count="3">
          <ranges>
            <range startItem="0">
              <i n="[EMP_RAW_Data].[Country].&amp;[Brazil]" c="Brazil"/>
              <i n="[EMP_RAW_Data].[Country].&amp;[China]" c="China"/>
              <i n="[EMP_RAW_Data].[Country].&amp;[United States]" c="United States"/>
            </range>
          </ranges>
        </level>
      </levels>
      <selections count="1">
        <selection n="[EMP_RAW_Data].[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4EBE7D8-31F8-49C9-A1B4-AE0030B1E43E}" cache="Slicer_Department" caption="Department" level="1" rowHeight="234950"/>
  <slicer name="Gender" xr10:uid="{54A0F231-E41F-47E4-AB8A-447C9842CC3A}" cache="Slicer_Gender" caption="Gender" level="1" rowHeight="234950"/>
  <slicer name="Country" xr10:uid="{52ACE67C-61A0-4377-99E5-1D99AAB650BA}" cache="Slicer_Country" caption="Count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5B95BB-ACFD-42AA-BB55-85E3AE30A140}" name="EMP_RAW_Data" displayName="EMP_RAW_Data" ref="A1:S1001" tableType="queryTable" totalsRowShown="0">
  <autoFilter ref="A1:S1001" xr:uid="{BF5B95BB-ACFD-42AA-BB55-85E3AE30A140}">
    <filterColumn colId="15">
      <filters>
        <filter val="1"/>
      </filters>
    </filterColumn>
  </autoFilter>
  <tableColumns count="19">
    <tableColumn id="1" xr3:uid="{02CA3B71-E95E-4C69-8F06-E6DA3A4940C4}" uniqueName="1" name="EMP ID" queryTableFieldId="1" dataDxfId="11"/>
    <tableColumn id="2" xr3:uid="{7828E645-B351-4BF8-B283-51B9265C0108}" uniqueName="2" name="Job Title" queryTableFieldId="2" dataDxfId="10"/>
    <tableColumn id="3" xr3:uid="{5BCD15BC-34CD-4E93-9C0F-FAC3A18F3D3D}" uniqueName="3" name="Department" queryTableFieldId="3" dataDxfId="9"/>
    <tableColumn id="4" xr3:uid="{ACD6EE18-05DE-43F3-8FBD-986FE795B378}" uniqueName="4" name="Business Unit" queryTableFieldId="4" dataDxfId="8"/>
    <tableColumn id="5" xr3:uid="{F0566967-F003-4F52-A55B-FCF32AE03573}" uniqueName="5" name="Gender" queryTableFieldId="5" dataDxfId="7"/>
    <tableColumn id="6" xr3:uid="{F5864CC5-884B-4CFE-8814-007AF64CC44E}" uniqueName="6" name="Age" queryTableFieldId="6"/>
    <tableColumn id="7" xr3:uid="{C9CB5F99-D0D7-4EE0-BE11-51617B34E7ED}" uniqueName="7" name="Age Group" queryTableFieldId="7"/>
    <tableColumn id="8" xr3:uid="{56C49157-22BF-4A07-842F-B0B6492FCB31}" uniqueName="8" name="Hire Date" queryTableFieldId="8" dataDxfId="6"/>
    <tableColumn id="9" xr3:uid="{3A802279-73EC-4084-89E8-0EA9ED3C40CC}" uniqueName="9" name="Annual Salary" queryTableFieldId="9"/>
    <tableColumn id="10" xr3:uid="{6347D1B9-D15A-4361-84E3-874AC710A981}" uniqueName="10" name="Bonus %" queryTableFieldId="10"/>
    <tableColumn id="11" xr3:uid="{F3E2B168-5076-47C4-8B07-73D357B518AB}" uniqueName="11" name="Total Salary" queryTableFieldId="11"/>
    <tableColumn id="12" xr3:uid="{F682A95C-6E37-4407-B4C1-D9FE33636DA0}" uniqueName="12" name="Country" queryTableFieldId="12" dataDxfId="5"/>
    <tableColumn id="13" xr3:uid="{964D99D1-0EF4-4ABA-8C16-22657A6DB98C}" uniqueName="13" name="City" queryTableFieldId="13" dataDxfId="4"/>
    <tableColumn id="14" xr3:uid="{BBFF2B41-3D6F-4EED-9C2D-829179D074F6}" uniqueName="14" name="Exit Date" queryTableFieldId="14" dataDxfId="3"/>
    <tableColumn id="15" xr3:uid="{B767FF9A-FCB6-4AF4-9649-C27576E91C25}" uniqueName="15" name="Index" queryTableFieldId="15"/>
    <tableColumn id="16" xr3:uid="{295D1219-58DB-4B71-9190-82C33694D58B}" uniqueName="16" name="Status" queryTableFieldId="16"/>
    <tableColumn id="17" xr3:uid="{14C5419C-719F-4CAC-B64D-0C8EDB22F33C}" uniqueName="17" name="Custom" queryTableFieldId="17"/>
    <tableColumn id="19" xr3:uid="{55FA8D78-99A6-4A24-813B-BB9328C74071}" uniqueName="19" name="Year" queryTableFieldId="19" dataDxfId="2">
      <calculatedColumnFormula>DATEDIF(EMP_RAW_Data[[#This Row],[Hire Date]],IF(EMP_RAW_Data[[#This Row],[Exit Date]]="",TODAY(),EMP_RAW_Data[[#This Row],[Exit Date]]),"Y")</calculatedColumnFormula>
    </tableColumn>
    <tableColumn id="20" xr3:uid="{E121D3BB-5C57-4FCF-92F5-64162B17EE10}" uniqueName="20" name="Employee Status" queryTableFieldId="20" dataDxfId="1">
      <calculatedColumnFormula>IF(EMP_RAW_Data[[#This Row],[Status]]=1,"Inactive","Active")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83E2-3ADF-49E7-85C8-142EDAE936A1}">
  <dimension ref="A1:S1001"/>
  <sheetViews>
    <sheetView topLeftCell="C1" workbookViewId="0">
      <selection activeCell="S9" sqref="S9"/>
    </sheetView>
  </sheetViews>
  <sheetFormatPr defaultRowHeight="14.4" x14ac:dyDescent="0.3"/>
  <cols>
    <col min="1" max="1" width="9.332031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3" bestFit="1" customWidth="1"/>
    <col min="12" max="12" width="11.88671875" bestFit="1" customWidth="1"/>
    <col min="13" max="13" width="12.44140625" bestFit="1" customWidth="1"/>
    <col min="14" max="14" width="10.5546875" bestFit="1" customWidth="1"/>
    <col min="15" max="15" width="7.88671875" bestFit="1" customWidth="1"/>
    <col min="16" max="16" width="8.44140625" bestFit="1" customWidth="1"/>
    <col min="17" max="17" width="9.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1087</v>
      </c>
      <c r="S1" t="s">
        <v>1088</v>
      </c>
    </row>
    <row r="2" spans="1:19" x14ac:dyDescent="0.3">
      <c r="A2" s="1" t="s">
        <v>17</v>
      </c>
      <c r="B2" s="1" t="s">
        <v>18</v>
      </c>
      <c r="C2" s="1" t="s">
        <v>19</v>
      </c>
      <c r="D2" s="1" t="s">
        <v>20</v>
      </c>
      <c r="E2" s="1" t="s">
        <v>21</v>
      </c>
      <c r="F2">
        <v>55</v>
      </c>
      <c r="G2" t="s">
        <v>22</v>
      </c>
      <c r="H2" s="2">
        <v>42468</v>
      </c>
      <c r="I2">
        <v>141604</v>
      </c>
      <c r="J2">
        <v>0.15</v>
      </c>
      <c r="K2">
        <v>162844.6</v>
      </c>
      <c r="L2" s="1" t="s">
        <v>23</v>
      </c>
      <c r="M2" s="1" t="s">
        <v>24</v>
      </c>
      <c r="N2" s="2">
        <v>44485</v>
      </c>
      <c r="O2">
        <v>1</v>
      </c>
      <c r="P2">
        <v>1</v>
      </c>
      <c r="Q2" t="s">
        <v>25</v>
      </c>
      <c r="R2">
        <f ca="1">DATEDIF(EMP_RAW_Data[[#This Row],[Hire Date]],IF(EMP_RAW_Data[[#This Row],[Exit Date]]="",TODAY(),EMP_RAW_Data[[#This Row],[Exit Date]]),"Y")</f>
        <v>5</v>
      </c>
      <c r="S2" t="str">
        <f>IF(EMP_RAW_Data[[#This Row],[Status]]=1,"Inactive","Active")</f>
        <v>Inactive</v>
      </c>
    </row>
    <row r="3" spans="1:19" hidden="1" x14ac:dyDescent="0.3">
      <c r="A3" s="1" t="s">
        <v>26</v>
      </c>
      <c r="B3" s="1" t="s">
        <v>27</v>
      </c>
      <c r="C3" s="1" t="s">
        <v>19</v>
      </c>
      <c r="D3" s="1" t="s">
        <v>28</v>
      </c>
      <c r="E3" s="1" t="s">
        <v>29</v>
      </c>
      <c r="F3">
        <v>59</v>
      </c>
      <c r="G3" t="s">
        <v>22</v>
      </c>
      <c r="H3" s="2">
        <v>35763</v>
      </c>
      <c r="I3">
        <v>99975</v>
      </c>
      <c r="J3">
        <v>0</v>
      </c>
      <c r="K3">
        <v>99975</v>
      </c>
      <c r="L3" s="1" t="s">
        <v>30</v>
      </c>
      <c r="M3" s="1" t="s">
        <v>31</v>
      </c>
      <c r="N3" s="2"/>
      <c r="O3">
        <v>2</v>
      </c>
      <c r="P3">
        <v>0</v>
      </c>
      <c r="Q3" t="s">
        <v>25</v>
      </c>
      <c r="R3">
        <f ca="1">DATEDIF(EMP_RAW_Data[[#This Row],[Hire Date]],IF(EMP_RAW_Data[[#This Row],[Exit Date]]="",TODAY(),EMP_RAW_Data[[#This Row],[Exit Date]]),"Y")</f>
        <v>28</v>
      </c>
      <c r="S3" t="str">
        <f>IF(EMP_RAW_Data[[#This Row],[Status]]=1,"Inactive","Active")</f>
        <v>Active</v>
      </c>
    </row>
    <row r="4" spans="1:19" hidden="1" x14ac:dyDescent="0.3">
      <c r="A4" s="1" t="s">
        <v>32</v>
      </c>
      <c r="B4" s="1" t="s">
        <v>33</v>
      </c>
      <c r="C4" s="1" t="s">
        <v>34</v>
      </c>
      <c r="D4" s="1" t="s">
        <v>35</v>
      </c>
      <c r="E4" s="1" t="s">
        <v>21</v>
      </c>
      <c r="F4">
        <v>50</v>
      </c>
      <c r="G4" t="s">
        <v>36</v>
      </c>
      <c r="H4" s="2">
        <v>39016</v>
      </c>
      <c r="I4">
        <v>163099</v>
      </c>
      <c r="J4">
        <v>0.2</v>
      </c>
      <c r="K4">
        <v>195718.8</v>
      </c>
      <c r="L4" s="1" t="s">
        <v>23</v>
      </c>
      <c r="M4" s="1" t="s">
        <v>37</v>
      </c>
      <c r="N4" s="2"/>
      <c r="O4">
        <v>3</v>
      </c>
      <c r="P4">
        <v>0</v>
      </c>
      <c r="Q4" t="s">
        <v>25</v>
      </c>
      <c r="R4">
        <f ca="1">DATEDIF(EMP_RAW_Data[[#This Row],[Hire Date]],IF(EMP_RAW_Data[[#This Row],[Exit Date]]="",TODAY(),EMP_RAW_Data[[#This Row],[Exit Date]]),"Y")</f>
        <v>19</v>
      </c>
      <c r="S4" t="str">
        <f>IF(EMP_RAW_Data[[#This Row],[Status]]=1,"Inactive","Active")</f>
        <v>Active</v>
      </c>
    </row>
    <row r="5" spans="1:19" hidden="1" x14ac:dyDescent="0.3">
      <c r="A5" s="1" t="s">
        <v>38</v>
      </c>
      <c r="B5" s="1" t="s">
        <v>39</v>
      </c>
      <c r="C5" s="1" t="s">
        <v>19</v>
      </c>
      <c r="D5" s="1" t="s">
        <v>28</v>
      </c>
      <c r="E5" s="1" t="s">
        <v>21</v>
      </c>
      <c r="F5">
        <v>26</v>
      </c>
      <c r="G5" t="s">
        <v>40</v>
      </c>
      <c r="H5" s="2">
        <v>43735</v>
      </c>
      <c r="I5">
        <v>84913</v>
      </c>
      <c r="J5">
        <v>7.0000000000000007E-2</v>
      </c>
      <c r="K5">
        <v>90856.91</v>
      </c>
      <c r="L5" s="1" t="s">
        <v>23</v>
      </c>
      <c r="M5" s="1" t="s">
        <v>37</v>
      </c>
      <c r="N5" s="2"/>
      <c r="O5">
        <v>4</v>
      </c>
      <c r="P5">
        <v>0</v>
      </c>
      <c r="Q5" t="s">
        <v>25</v>
      </c>
      <c r="R5">
        <f ca="1">DATEDIF(EMP_RAW_Data[[#This Row],[Hire Date]],IF(EMP_RAW_Data[[#This Row],[Exit Date]]="",TODAY(),EMP_RAW_Data[[#This Row],[Exit Date]]),"Y")</f>
        <v>6</v>
      </c>
      <c r="S5" t="str">
        <f>IF(EMP_RAW_Data[[#This Row],[Status]]=1,"Inactive","Active")</f>
        <v>Active</v>
      </c>
    </row>
    <row r="6" spans="1:19" hidden="1" x14ac:dyDescent="0.3">
      <c r="A6" s="1" t="s">
        <v>41</v>
      </c>
      <c r="B6" s="1" t="s">
        <v>42</v>
      </c>
      <c r="C6" s="1" t="s">
        <v>34</v>
      </c>
      <c r="D6" s="1" t="s">
        <v>28</v>
      </c>
      <c r="E6" s="1" t="s">
        <v>29</v>
      </c>
      <c r="F6">
        <v>55</v>
      </c>
      <c r="G6" t="s">
        <v>22</v>
      </c>
      <c r="H6" s="2">
        <v>35023</v>
      </c>
      <c r="I6">
        <v>95409</v>
      </c>
      <c r="J6">
        <v>0</v>
      </c>
      <c r="K6">
        <v>95409</v>
      </c>
      <c r="L6" s="1" t="s">
        <v>23</v>
      </c>
      <c r="M6" s="1" t="s">
        <v>43</v>
      </c>
      <c r="N6" s="2"/>
      <c r="O6">
        <v>5</v>
      </c>
      <c r="P6">
        <v>0</v>
      </c>
      <c r="Q6" t="s">
        <v>25</v>
      </c>
      <c r="R6">
        <f ca="1">DATEDIF(EMP_RAW_Data[[#This Row],[Hire Date]],IF(EMP_RAW_Data[[#This Row],[Exit Date]]="",TODAY(),EMP_RAW_Data[[#This Row],[Exit Date]]),"Y")</f>
        <v>30</v>
      </c>
      <c r="S6" t="str">
        <f>IF(EMP_RAW_Data[[#This Row],[Status]]=1,"Inactive","Active")</f>
        <v>Active</v>
      </c>
    </row>
    <row r="7" spans="1:19" hidden="1" x14ac:dyDescent="0.3">
      <c r="A7" s="1" t="s">
        <v>44</v>
      </c>
      <c r="B7" s="1" t="s">
        <v>45</v>
      </c>
      <c r="C7" s="1" t="s">
        <v>46</v>
      </c>
      <c r="D7" s="1" t="s">
        <v>47</v>
      </c>
      <c r="E7" s="1" t="s">
        <v>29</v>
      </c>
      <c r="F7">
        <v>57</v>
      </c>
      <c r="G7" t="s">
        <v>22</v>
      </c>
      <c r="H7" s="2">
        <v>42759</v>
      </c>
      <c r="I7">
        <v>50994</v>
      </c>
      <c r="J7">
        <v>0</v>
      </c>
      <c r="K7">
        <v>50994</v>
      </c>
      <c r="L7" s="1" t="s">
        <v>30</v>
      </c>
      <c r="M7" s="1" t="s">
        <v>31</v>
      </c>
      <c r="N7" s="2"/>
      <c r="O7">
        <v>6</v>
      </c>
      <c r="P7">
        <v>0</v>
      </c>
      <c r="Q7" t="s">
        <v>25</v>
      </c>
      <c r="R7">
        <f ca="1">DATEDIF(EMP_RAW_Data[[#This Row],[Hire Date]],IF(EMP_RAW_Data[[#This Row],[Exit Date]]="",TODAY(),EMP_RAW_Data[[#This Row],[Exit Date]]),"Y")</f>
        <v>9</v>
      </c>
      <c r="S7" t="str">
        <f>IF(EMP_RAW_Data[[#This Row],[Status]]=1,"Inactive","Active")</f>
        <v>Active</v>
      </c>
    </row>
    <row r="8" spans="1:19" hidden="1" x14ac:dyDescent="0.3">
      <c r="A8" s="1" t="s">
        <v>48</v>
      </c>
      <c r="B8" s="1" t="s">
        <v>49</v>
      </c>
      <c r="C8" s="1" t="s">
        <v>19</v>
      </c>
      <c r="D8" s="1" t="s">
        <v>47</v>
      </c>
      <c r="E8" s="1" t="s">
        <v>21</v>
      </c>
      <c r="F8">
        <v>27</v>
      </c>
      <c r="G8" t="s">
        <v>40</v>
      </c>
      <c r="H8" s="2">
        <v>44013</v>
      </c>
      <c r="I8">
        <v>119746</v>
      </c>
      <c r="J8">
        <v>0.1</v>
      </c>
      <c r="K8">
        <v>131720.6</v>
      </c>
      <c r="L8" s="1" t="s">
        <v>23</v>
      </c>
      <c r="M8" s="1" t="s">
        <v>43</v>
      </c>
      <c r="N8" s="2"/>
      <c r="O8">
        <v>7</v>
      </c>
      <c r="P8">
        <v>0</v>
      </c>
      <c r="Q8" t="s">
        <v>25</v>
      </c>
      <c r="R8">
        <f ca="1">DATEDIF(EMP_RAW_Data[[#This Row],[Hire Date]],IF(EMP_RAW_Data[[#This Row],[Exit Date]]="",TODAY(),EMP_RAW_Data[[#This Row],[Exit Date]]),"Y")</f>
        <v>5</v>
      </c>
      <c r="S8" t="str">
        <f>IF(EMP_RAW_Data[[#This Row],[Status]]=1,"Inactive","Active")</f>
        <v>Active</v>
      </c>
    </row>
    <row r="9" spans="1:19" x14ac:dyDescent="0.3">
      <c r="A9" s="1" t="s">
        <v>50</v>
      </c>
      <c r="B9" s="1" t="s">
        <v>51</v>
      </c>
      <c r="C9" s="1" t="s">
        <v>34</v>
      </c>
      <c r="D9" s="1" t="s">
        <v>28</v>
      </c>
      <c r="E9" s="1" t="s">
        <v>29</v>
      </c>
      <c r="F9">
        <v>25</v>
      </c>
      <c r="G9" t="s">
        <v>40</v>
      </c>
      <c r="H9" s="2">
        <v>43967</v>
      </c>
      <c r="I9">
        <v>41336</v>
      </c>
      <c r="J9">
        <v>0</v>
      </c>
      <c r="K9">
        <v>41336</v>
      </c>
      <c r="L9" s="1" t="s">
        <v>23</v>
      </c>
      <c r="M9" s="1" t="s">
        <v>52</v>
      </c>
      <c r="N9" s="2">
        <v>44336</v>
      </c>
      <c r="O9">
        <v>8</v>
      </c>
      <c r="P9">
        <v>1</v>
      </c>
      <c r="Q9" t="s">
        <v>25</v>
      </c>
      <c r="R9">
        <f ca="1">DATEDIF(EMP_RAW_Data[[#This Row],[Hire Date]],IF(EMP_RAW_Data[[#This Row],[Exit Date]]="",TODAY(),EMP_RAW_Data[[#This Row],[Exit Date]]),"Y")</f>
        <v>1</v>
      </c>
      <c r="S9" t="str">
        <f>IF(EMP_RAW_Data[[#This Row],[Status]]=1,"Inactive","Active")</f>
        <v>Inactive</v>
      </c>
    </row>
    <row r="10" spans="1:19" hidden="1" x14ac:dyDescent="0.3">
      <c r="A10" s="1" t="s">
        <v>53</v>
      </c>
      <c r="B10" s="1" t="s">
        <v>49</v>
      </c>
      <c r="C10" s="1" t="s">
        <v>54</v>
      </c>
      <c r="D10" s="1" t="s">
        <v>28</v>
      </c>
      <c r="E10" s="1" t="s">
        <v>29</v>
      </c>
      <c r="F10">
        <v>29</v>
      </c>
      <c r="G10" t="s">
        <v>40</v>
      </c>
      <c r="H10" s="2">
        <v>43490</v>
      </c>
      <c r="I10">
        <v>113527</v>
      </c>
      <c r="J10">
        <v>0.06</v>
      </c>
      <c r="K10">
        <v>120338.62</v>
      </c>
      <c r="L10" s="1" t="s">
        <v>23</v>
      </c>
      <c r="M10" s="1" t="s">
        <v>55</v>
      </c>
      <c r="N10" s="2"/>
      <c r="O10">
        <v>9</v>
      </c>
      <c r="P10">
        <v>0</v>
      </c>
      <c r="Q10" t="s">
        <v>25</v>
      </c>
      <c r="R10">
        <f ca="1">DATEDIF(EMP_RAW_Data[[#This Row],[Hire Date]],IF(EMP_RAW_Data[[#This Row],[Exit Date]]="",TODAY(),EMP_RAW_Data[[#This Row],[Exit Date]]),"Y")</f>
        <v>7</v>
      </c>
      <c r="S10" t="str">
        <f>IF(EMP_RAW_Data[[#This Row],[Status]]=1,"Inactive","Active")</f>
        <v>Active</v>
      </c>
    </row>
    <row r="11" spans="1:19" hidden="1" x14ac:dyDescent="0.3">
      <c r="A11" s="1" t="s">
        <v>56</v>
      </c>
      <c r="B11" s="1" t="s">
        <v>42</v>
      </c>
      <c r="C11" s="1" t="s">
        <v>34</v>
      </c>
      <c r="D11" s="1" t="s">
        <v>35</v>
      </c>
      <c r="E11" s="1" t="s">
        <v>21</v>
      </c>
      <c r="F11">
        <v>34</v>
      </c>
      <c r="G11" t="s">
        <v>40</v>
      </c>
      <c r="H11" s="2">
        <v>43264</v>
      </c>
      <c r="I11">
        <v>77203</v>
      </c>
      <c r="J11">
        <v>0</v>
      </c>
      <c r="K11">
        <v>77203</v>
      </c>
      <c r="L11" s="1" t="s">
        <v>23</v>
      </c>
      <c r="M11" s="1" t="s">
        <v>37</v>
      </c>
      <c r="N11" s="2"/>
      <c r="O11">
        <v>10</v>
      </c>
      <c r="P11">
        <v>0</v>
      </c>
      <c r="Q11" t="s">
        <v>25</v>
      </c>
      <c r="R11">
        <f ca="1">DATEDIF(EMP_RAW_Data[[#This Row],[Hire Date]],IF(EMP_RAW_Data[[#This Row],[Exit Date]]="",TODAY(),EMP_RAW_Data[[#This Row],[Exit Date]]),"Y")</f>
        <v>7</v>
      </c>
      <c r="S11" t="str">
        <f>IF(EMP_RAW_Data[[#This Row],[Status]]=1,"Inactive","Active")</f>
        <v>Active</v>
      </c>
    </row>
    <row r="12" spans="1:19" hidden="1" x14ac:dyDescent="0.3">
      <c r="A12" s="1" t="s">
        <v>57</v>
      </c>
      <c r="B12" s="1" t="s">
        <v>18</v>
      </c>
      <c r="C12" s="1" t="s">
        <v>58</v>
      </c>
      <c r="D12" s="1" t="s">
        <v>28</v>
      </c>
      <c r="E12" s="1" t="s">
        <v>21</v>
      </c>
      <c r="F12">
        <v>36</v>
      </c>
      <c r="G12" t="s">
        <v>59</v>
      </c>
      <c r="H12" s="2">
        <v>39855</v>
      </c>
      <c r="I12">
        <v>157333</v>
      </c>
      <c r="J12">
        <v>0.15</v>
      </c>
      <c r="K12">
        <v>180932.95</v>
      </c>
      <c r="L12" s="1" t="s">
        <v>23</v>
      </c>
      <c r="M12" s="1" t="s">
        <v>52</v>
      </c>
      <c r="N12" s="2"/>
      <c r="O12">
        <v>11</v>
      </c>
      <c r="P12">
        <v>0</v>
      </c>
      <c r="Q12" t="s">
        <v>25</v>
      </c>
      <c r="R12">
        <f ca="1">DATEDIF(EMP_RAW_Data[[#This Row],[Hire Date]],IF(EMP_RAW_Data[[#This Row],[Exit Date]]="",TODAY(),EMP_RAW_Data[[#This Row],[Exit Date]]),"Y")</f>
        <v>17</v>
      </c>
      <c r="S12" t="str">
        <f>IF(EMP_RAW_Data[[#This Row],[Status]]=1,"Inactive","Active")</f>
        <v>Active</v>
      </c>
    </row>
    <row r="13" spans="1:19" hidden="1" x14ac:dyDescent="0.3">
      <c r="A13" s="1" t="s">
        <v>60</v>
      </c>
      <c r="B13" s="1" t="s">
        <v>61</v>
      </c>
      <c r="C13" s="1" t="s">
        <v>62</v>
      </c>
      <c r="D13" s="1" t="s">
        <v>35</v>
      </c>
      <c r="E13" s="1" t="s">
        <v>21</v>
      </c>
      <c r="F13">
        <v>27</v>
      </c>
      <c r="G13" t="s">
        <v>40</v>
      </c>
      <c r="H13" s="2">
        <v>44490</v>
      </c>
      <c r="I13">
        <v>109851</v>
      </c>
      <c r="J13">
        <v>0</v>
      </c>
      <c r="K13">
        <v>109851</v>
      </c>
      <c r="L13" s="1" t="s">
        <v>23</v>
      </c>
      <c r="M13" s="1" t="s">
        <v>24</v>
      </c>
      <c r="N13" s="2"/>
      <c r="O13">
        <v>12</v>
      </c>
      <c r="P13">
        <v>0</v>
      </c>
      <c r="Q13" t="s">
        <v>25</v>
      </c>
      <c r="R13">
        <f ca="1">DATEDIF(EMP_RAW_Data[[#This Row],[Hire Date]],IF(EMP_RAW_Data[[#This Row],[Exit Date]]="",TODAY(),EMP_RAW_Data[[#This Row],[Exit Date]]),"Y")</f>
        <v>4</v>
      </c>
      <c r="S13" t="str">
        <f>IF(EMP_RAW_Data[[#This Row],[Status]]=1,"Inactive","Active")</f>
        <v>Active</v>
      </c>
    </row>
    <row r="14" spans="1:19" hidden="1" x14ac:dyDescent="0.3">
      <c r="A14" s="1" t="s">
        <v>63</v>
      </c>
      <c r="B14" s="1" t="s">
        <v>49</v>
      </c>
      <c r="C14" s="1" t="s">
        <v>58</v>
      </c>
      <c r="D14" s="1" t="s">
        <v>28</v>
      </c>
      <c r="E14" s="1" t="s">
        <v>29</v>
      </c>
      <c r="F14">
        <v>59</v>
      </c>
      <c r="G14" t="s">
        <v>22</v>
      </c>
      <c r="H14" s="2">
        <v>36233</v>
      </c>
      <c r="I14">
        <v>105086</v>
      </c>
      <c r="J14">
        <v>0.09</v>
      </c>
      <c r="K14">
        <v>114543.74</v>
      </c>
      <c r="L14" s="1" t="s">
        <v>23</v>
      </c>
      <c r="M14" s="1" t="s">
        <v>55</v>
      </c>
      <c r="N14" s="2"/>
      <c r="O14">
        <v>13</v>
      </c>
      <c r="P14">
        <v>0</v>
      </c>
      <c r="Q14" t="s">
        <v>25</v>
      </c>
      <c r="R14">
        <f ca="1">DATEDIF(EMP_RAW_Data[[#This Row],[Hire Date]],IF(EMP_RAW_Data[[#This Row],[Exit Date]]="",TODAY(),EMP_RAW_Data[[#This Row],[Exit Date]]),"Y")</f>
        <v>27</v>
      </c>
      <c r="S14" t="str">
        <f>IF(EMP_RAW_Data[[#This Row],[Status]]=1,"Inactive","Active")</f>
        <v>Active</v>
      </c>
    </row>
    <row r="15" spans="1:19" hidden="1" x14ac:dyDescent="0.3">
      <c r="A15" s="1" t="s">
        <v>64</v>
      </c>
      <c r="B15" s="1" t="s">
        <v>18</v>
      </c>
      <c r="C15" s="1" t="s">
        <v>34</v>
      </c>
      <c r="D15" s="1" t="s">
        <v>20</v>
      </c>
      <c r="E15" s="1" t="s">
        <v>21</v>
      </c>
      <c r="F15">
        <v>51</v>
      </c>
      <c r="G15" t="s">
        <v>36</v>
      </c>
      <c r="H15" s="2">
        <v>44357</v>
      </c>
      <c r="I15">
        <v>146742</v>
      </c>
      <c r="J15">
        <v>0.1</v>
      </c>
      <c r="K15">
        <v>161416.20000000001</v>
      </c>
      <c r="L15" s="1" t="s">
        <v>30</v>
      </c>
      <c r="M15" s="1" t="s">
        <v>65</v>
      </c>
      <c r="N15" s="2"/>
      <c r="O15">
        <v>14</v>
      </c>
      <c r="P15">
        <v>0</v>
      </c>
      <c r="Q15" t="s">
        <v>25</v>
      </c>
      <c r="R15">
        <f ca="1">DATEDIF(EMP_RAW_Data[[#This Row],[Hire Date]],IF(EMP_RAW_Data[[#This Row],[Exit Date]]="",TODAY(),EMP_RAW_Data[[#This Row],[Exit Date]]),"Y")</f>
        <v>4</v>
      </c>
      <c r="S15" t="str">
        <f>IF(EMP_RAW_Data[[#This Row],[Status]]=1,"Inactive","Active")</f>
        <v>Active</v>
      </c>
    </row>
    <row r="16" spans="1:19" x14ac:dyDescent="0.3">
      <c r="A16" s="1" t="s">
        <v>66</v>
      </c>
      <c r="B16" s="1" t="s">
        <v>42</v>
      </c>
      <c r="C16" s="1" t="s">
        <v>54</v>
      </c>
      <c r="D16" s="1" t="s">
        <v>35</v>
      </c>
      <c r="E16" s="1" t="s">
        <v>29</v>
      </c>
      <c r="F16">
        <v>31</v>
      </c>
      <c r="G16" t="s">
        <v>40</v>
      </c>
      <c r="H16" s="2">
        <v>43043</v>
      </c>
      <c r="I16">
        <v>97078</v>
      </c>
      <c r="J16">
        <v>0</v>
      </c>
      <c r="K16">
        <v>97078</v>
      </c>
      <c r="L16" s="1" t="s">
        <v>23</v>
      </c>
      <c r="M16" s="1" t="s">
        <v>55</v>
      </c>
      <c r="N16" s="2">
        <v>43899</v>
      </c>
      <c r="O16">
        <v>15</v>
      </c>
      <c r="P16">
        <v>1</v>
      </c>
      <c r="Q16" t="s">
        <v>25</v>
      </c>
      <c r="R16">
        <f ca="1">DATEDIF(EMP_RAW_Data[[#This Row],[Hire Date]],IF(EMP_RAW_Data[[#This Row],[Exit Date]]="",TODAY(),EMP_RAW_Data[[#This Row],[Exit Date]]),"Y")</f>
        <v>2</v>
      </c>
      <c r="S16" t="str">
        <f>IF(EMP_RAW_Data[[#This Row],[Status]]=1,"Inactive","Active")</f>
        <v>Inactive</v>
      </c>
    </row>
    <row r="17" spans="1:19" hidden="1" x14ac:dyDescent="0.3">
      <c r="A17" s="1" t="s">
        <v>67</v>
      </c>
      <c r="B17" s="1" t="s">
        <v>68</v>
      </c>
      <c r="C17" s="1" t="s">
        <v>69</v>
      </c>
      <c r="D17" s="1" t="s">
        <v>20</v>
      </c>
      <c r="E17" s="1" t="s">
        <v>21</v>
      </c>
      <c r="F17">
        <v>41</v>
      </c>
      <c r="G17" t="s">
        <v>59</v>
      </c>
      <c r="H17" s="2">
        <v>41346</v>
      </c>
      <c r="I17">
        <v>249270</v>
      </c>
      <c r="J17">
        <v>0.3</v>
      </c>
      <c r="K17">
        <v>324051</v>
      </c>
      <c r="L17" s="1" t="s">
        <v>23</v>
      </c>
      <c r="M17" s="1" t="s">
        <v>24</v>
      </c>
      <c r="N17" s="2"/>
      <c r="O17">
        <v>16</v>
      </c>
      <c r="P17">
        <v>0</v>
      </c>
      <c r="Q17" t="s">
        <v>25</v>
      </c>
      <c r="R17">
        <f ca="1">DATEDIF(EMP_RAW_Data[[#This Row],[Hire Date]],IF(EMP_RAW_Data[[#This Row],[Exit Date]]="",TODAY(),EMP_RAW_Data[[#This Row],[Exit Date]]),"Y")</f>
        <v>13</v>
      </c>
      <c r="S17" t="str">
        <f>IF(EMP_RAW_Data[[#This Row],[Status]]=1,"Inactive","Active")</f>
        <v>Active</v>
      </c>
    </row>
    <row r="18" spans="1:19" hidden="1" x14ac:dyDescent="0.3">
      <c r="A18" s="1" t="s">
        <v>70</v>
      </c>
      <c r="B18" s="1" t="s">
        <v>33</v>
      </c>
      <c r="C18" s="1" t="s">
        <v>34</v>
      </c>
      <c r="D18" s="1" t="s">
        <v>20</v>
      </c>
      <c r="E18" s="1" t="s">
        <v>21</v>
      </c>
      <c r="F18">
        <v>65</v>
      </c>
      <c r="G18" t="s">
        <v>71</v>
      </c>
      <c r="H18" s="2">
        <v>37319</v>
      </c>
      <c r="I18">
        <v>175837</v>
      </c>
      <c r="J18">
        <v>0.2</v>
      </c>
      <c r="K18">
        <v>211004.4</v>
      </c>
      <c r="L18" s="1" t="s">
        <v>23</v>
      </c>
      <c r="M18" s="1" t="s">
        <v>43</v>
      </c>
      <c r="N18" s="2"/>
      <c r="O18">
        <v>17</v>
      </c>
      <c r="P18">
        <v>0</v>
      </c>
      <c r="Q18" t="s">
        <v>25</v>
      </c>
      <c r="R18">
        <f ca="1">DATEDIF(EMP_RAW_Data[[#This Row],[Hire Date]],IF(EMP_RAW_Data[[#This Row],[Exit Date]]="",TODAY(),EMP_RAW_Data[[#This Row],[Exit Date]]),"Y")</f>
        <v>24</v>
      </c>
      <c r="S18" t="str">
        <f>IF(EMP_RAW_Data[[#This Row],[Status]]=1,"Inactive","Active")</f>
        <v>Active</v>
      </c>
    </row>
    <row r="19" spans="1:19" hidden="1" x14ac:dyDescent="0.3">
      <c r="A19" s="1" t="s">
        <v>72</v>
      </c>
      <c r="B19" s="1" t="s">
        <v>18</v>
      </c>
      <c r="C19" s="1" t="s">
        <v>69</v>
      </c>
      <c r="D19" s="1" t="s">
        <v>35</v>
      </c>
      <c r="E19" s="1" t="s">
        <v>21</v>
      </c>
      <c r="F19">
        <v>64</v>
      </c>
      <c r="G19" t="s">
        <v>22</v>
      </c>
      <c r="H19" s="2">
        <v>37956</v>
      </c>
      <c r="I19">
        <v>154828</v>
      </c>
      <c r="J19">
        <v>0.13</v>
      </c>
      <c r="K19">
        <v>174955.64</v>
      </c>
      <c r="L19" s="1" t="s">
        <v>23</v>
      </c>
      <c r="M19" s="1" t="s">
        <v>24</v>
      </c>
      <c r="N19" s="2"/>
      <c r="O19">
        <v>18</v>
      </c>
      <c r="P19">
        <v>0</v>
      </c>
      <c r="Q19" t="s">
        <v>25</v>
      </c>
      <c r="R19">
        <f ca="1">DATEDIF(EMP_RAW_Data[[#This Row],[Hire Date]],IF(EMP_RAW_Data[[#This Row],[Exit Date]]="",TODAY(),EMP_RAW_Data[[#This Row],[Exit Date]]),"Y")</f>
        <v>22</v>
      </c>
      <c r="S19" t="str">
        <f>IF(EMP_RAW_Data[[#This Row],[Status]]=1,"Inactive","Active")</f>
        <v>Active</v>
      </c>
    </row>
    <row r="20" spans="1:19" hidden="1" x14ac:dyDescent="0.3">
      <c r="A20" s="1" t="s">
        <v>73</v>
      </c>
      <c r="B20" s="1" t="s">
        <v>33</v>
      </c>
      <c r="C20" s="1" t="s">
        <v>19</v>
      </c>
      <c r="D20" s="1" t="s">
        <v>47</v>
      </c>
      <c r="E20" s="1" t="s">
        <v>29</v>
      </c>
      <c r="F20">
        <v>64</v>
      </c>
      <c r="G20" t="s">
        <v>22</v>
      </c>
      <c r="H20" s="2">
        <v>41581</v>
      </c>
      <c r="I20">
        <v>186503</v>
      </c>
      <c r="J20">
        <v>0.24</v>
      </c>
      <c r="K20">
        <v>231263.72</v>
      </c>
      <c r="L20" s="1" t="s">
        <v>23</v>
      </c>
      <c r="M20" s="1" t="s">
        <v>74</v>
      </c>
      <c r="N20" s="2"/>
      <c r="O20">
        <v>19</v>
      </c>
      <c r="P20">
        <v>0</v>
      </c>
      <c r="Q20" t="s">
        <v>25</v>
      </c>
      <c r="R20">
        <f ca="1">DATEDIF(EMP_RAW_Data[[#This Row],[Hire Date]],IF(EMP_RAW_Data[[#This Row],[Exit Date]]="",TODAY(),EMP_RAW_Data[[#This Row],[Exit Date]]),"Y")</f>
        <v>12</v>
      </c>
      <c r="S20" t="str">
        <f>IF(EMP_RAW_Data[[#This Row],[Status]]=1,"Inactive","Active")</f>
        <v>Active</v>
      </c>
    </row>
    <row r="21" spans="1:19" hidden="1" x14ac:dyDescent="0.3">
      <c r="A21" s="1" t="s">
        <v>75</v>
      </c>
      <c r="B21" s="1" t="s">
        <v>33</v>
      </c>
      <c r="C21" s="1" t="s">
        <v>46</v>
      </c>
      <c r="D21" s="1" t="s">
        <v>20</v>
      </c>
      <c r="E21" s="1" t="s">
        <v>29</v>
      </c>
      <c r="F21">
        <v>45</v>
      </c>
      <c r="G21" t="s">
        <v>36</v>
      </c>
      <c r="H21" s="2">
        <v>37446</v>
      </c>
      <c r="I21">
        <v>166331</v>
      </c>
      <c r="J21">
        <v>0.18</v>
      </c>
      <c r="K21">
        <v>196270.58</v>
      </c>
      <c r="L21" s="1" t="s">
        <v>30</v>
      </c>
      <c r="M21" s="1" t="s">
        <v>31</v>
      </c>
      <c r="N21" s="2"/>
      <c r="O21">
        <v>20</v>
      </c>
      <c r="P21">
        <v>0</v>
      </c>
      <c r="Q21" t="s">
        <v>25</v>
      </c>
      <c r="R21">
        <f ca="1">DATEDIF(EMP_RAW_Data[[#This Row],[Hire Date]],IF(EMP_RAW_Data[[#This Row],[Exit Date]]="",TODAY(),EMP_RAW_Data[[#This Row],[Exit Date]]),"Y")</f>
        <v>23</v>
      </c>
      <c r="S21" t="str">
        <f>IF(EMP_RAW_Data[[#This Row],[Status]]=1,"Inactive","Active")</f>
        <v>Active</v>
      </c>
    </row>
    <row r="22" spans="1:19" hidden="1" x14ac:dyDescent="0.3">
      <c r="A22" s="1" t="s">
        <v>76</v>
      </c>
      <c r="B22" s="1" t="s">
        <v>18</v>
      </c>
      <c r="C22" s="1" t="s">
        <v>19</v>
      </c>
      <c r="D22" s="1" t="s">
        <v>28</v>
      </c>
      <c r="E22" s="1" t="s">
        <v>29</v>
      </c>
      <c r="F22">
        <v>56</v>
      </c>
      <c r="G22" t="s">
        <v>22</v>
      </c>
      <c r="H22" s="2">
        <v>40917</v>
      </c>
      <c r="I22">
        <v>146140</v>
      </c>
      <c r="J22">
        <v>0.1</v>
      </c>
      <c r="K22">
        <v>160754</v>
      </c>
      <c r="L22" s="1" t="s">
        <v>77</v>
      </c>
      <c r="M22" s="1" t="s">
        <v>78</v>
      </c>
      <c r="N22" s="2"/>
      <c r="O22">
        <v>21</v>
      </c>
      <c r="P22">
        <v>0</v>
      </c>
      <c r="Q22" t="s">
        <v>25</v>
      </c>
      <c r="R22">
        <f ca="1">DATEDIF(EMP_RAW_Data[[#This Row],[Hire Date]],IF(EMP_RAW_Data[[#This Row],[Exit Date]]="",TODAY(),EMP_RAW_Data[[#This Row],[Exit Date]]),"Y")</f>
        <v>14</v>
      </c>
      <c r="S22" t="str">
        <f>IF(EMP_RAW_Data[[#This Row],[Status]]=1,"Inactive","Active")</f>
        <v>Active</v>
      </c>
    </row>
    <row r="23" spans="1:19" hidden="1" x14ac:dyDescent="0.3">
      <c r="A23" s="1" t="s">
        <v>79</v>
      </c>
      <c r="B23" s="1" t="s">
        <v>33</v>
      </c>
      <c r="C23" s="1" t="s">
        <v>46</v>
      </c>
      <c r="D23" s="1" t="s">
        <v>28</v>
      </c>
      <c r="E23" s="1" t="s">
        <v>21</v>
      </c>
      <c r="F23">
        <v>36</v>
      </c>
      <c r="G23" t="s">
        <v>59</v>
      </c>
      <c r="H23" s="2">
        <v>44288</v>
      </c>
      <c r="I23">
        <v>151703</v>
      </c>
      <c r="J23">
        <v>0.21</v>
      </c>
      <c r="K23">
        <v>183560.63</v>
      </c>
      <c r="L23" s="1" t="s">
        <v>23</v>
      </c>
      <c r="M23" s="1" t="s">
        <v>52</v>
      </c>
      <c r="N23" s="2"/>
      <c r="O23">
        <v>22</v>
      </c>
      <c r="P23">
        <v>0</v>
      </c>
      <c r="Q23" t="s">
        <v>25</v>
      </c>
      <c r="R23">
        <f ca="1">DATEDIF(EMP_RAW_Data[[#This Row],[Hire Date]],IF(EMP_RAW_Data[[#This Row],[Exit Date]]="",TODAY(),EMP_RAW_Data[[#This Row],[Exit Date]]),"Y")</f>
        <v>4</v>
      </c>
      <c r="S23" t="str">
        <f>IF(EMP_RAW_Data[[#This Row],[Status]]=1,"Inactive","Active")</f>
        <v>Active</v>
      </c>
    </row>
    <row r="24" spans="1:19" hidden="1" x14ac:dyDescent="0.3">
      <c r="A24" s="1" t="s">
        <v>80</v>
      </c>
      <c r="B24" s="1" t="s">
        <v>33</v>
      </c>
      <c r="C24" s="1" t="s">
        <v>19</v>
      </c>
      <c r="D24" s="1" t="s">
        <v>20</v>
      </c>
      <c r="E24" s="1" t="s">
        <v>29</v>
      </c>
      <c r="F24">
        <v>59</v>
      </c>
      <c r="G24" t="s">
        <v>22</v>
      </c>
      <c r="H24" s="2">
        <v>37400</v>
      </c>
      <c r="I24">
        <v>172787</v>
      </c>
      <c r="J24">
        <v>0.28000000000000003</v>
      </c>
      <c r="K24">
        <v>221167.36000000002</v>
      </c>
      <c r="L24" s="1" t="s">
        <v>77</v>
      </c>
      <c r="M24" s="1" t="s">
        <v>81</v>
      </c>
      <c r="N24" s="2"/>
      <c r="O24">
        <v>23</v>
      </c>
      <c r="P24">
        <v>0</v>
      </c>
      <c r="Q24" t="s">
        <v>25</v>
      </c>
      <c r="R24">
        <f ca="1">DATEDIF(EMP_RAW_Data[[#This Row],[Hire Date]],IF(EMP_RAW_Data[[#This Row],[Exit Date]]="",TODAY(),EMP_RAW_Data[[#This Row],[Exit Date]]),"Y")</f>
        <v>23</v>
      </c>
      <c r="S24" t="str">
        <f>IF(EMP_RAW_Data[[#This Row],[Status]]=1,"Inactive","Active")</f>
        <v>Active</v>
      </c>
    </row>
    <row r="25" spans="1:19" hidden="1" x14ac:dyDescent="0.3">
      <c r="A25" s="1" t="s">
        <v>82</v>
      </c>
      <c r="B25" s="1" t="s">
        <v>51</v>
      </c>
      <c r="C25" s="1" t="s">
        <v>46</v>
      </c>
      <c r="D25" s="1" t="s">
        <v>35</v>
      </c>
      <c r="E25" s="1" t="s">
        <v>29</v>
      </c>
      <c r="F25">
        <v>37</v>
      </c>
      <c r="G25" t="s">
        <v>59</v>
      </c>
      <c r="H25" s="2">
        <v>43713</v>
      </c>
      <c r="I25">
        <v>49998</v>
      </c>
      <c r="J25">
        <v>0</v>
      </c>
      <c r="K25">
        <v>49998</v>
      </c>
      <c r="L25" s="1" t="s">
        <v>23</v>
      </c>
      <c r="M25" s="1" t="s">
        <v>24</v>
      </c>
      <c r="N25" s="2"/>
      <c r="O25">
        <v>24</v>
      </c>
      <c r="P25">
        <v>0</v>
      </c>
      <c r="Q25" t="s">
        <v>25</v>
      </c>
      <c r="R25">
        <f ca="1">DATEDIF(EMP_RAW_Data[[#This Row],[Hire Date]],IF(EMP_RAW_Data[[#This Row],[Exit Date]]="",TODAY(),EMP_RAW_Data[[#This Row],[Exit Date]]),"Y")</f>
        <v>6</v>
      </c>
      <c r="S25" t="str">
        <f>IF(EMP_RAW_Data[[#This Row],[Status]]=1,"Inactive","Active")</f>
        <v>Active</v>
      </c>
    </row>
    <row r="26" spans="1:19" hidden="1" x14ac:dyDescent="0.3">
      <c r="A26" s="1" t="s">
        <v>83</v>
      </c>
      <c r="B26" s="1" t="s">
        <v>68</v>
      </c>
      <c r="C26" s="1" t="s">
        <v>46</v>
      </c>
      <c r="D26" s="1" t="s">
        <v>35</v>
      </c>
      <c r="E26" s="1" t="s">
        <v>29</v>
      </c>
      <c r="F26">
        <v>44</v>
      </c>
      <c r="G26" t="s">
        <v>59</v>
      </c>
      <c r="H26" s="2">
        <v>41700</v>
      </c>
      <c r="I26">
        <v>207172</v>
      </c>
      <c r="J26">
        <v>0.31</v>
      </c>
      <c r="K26">
        <v>271395.32</v>
      </c>
      <c r="L26" s="1" t="s">
        <v>30</v>
      </c>
      <c r="M26" s="1" t="s">
        <v>31</v>
      </c>
      <c r="N26" s="2"/>
      <c r="O26">
        <v>25</v>
      </c>
      <c r="P26">
        <v>0</v>
      </c>
      <c r="Q26" t="s">
        <v>25</v>
      </c>
      <c r="R26">
        <f ca="1">DATEDIF(EMP_RAW_Data[[#This Row],[Hire Date]],IF(EMP_RAW_Data[[#This Row],[Exit Date]]="",TODAY(),EMP_RAW_Data[[#This Row],[Exit Date]]),"Y")</f>
        <v>12</v>
      </c>
      <c r="S26" t="str">
        <f>IF(EMP_RAW_Data[[#This Row],[Status]]=1,"Inactive","Active")</f>
        <v>Active</v>
      </c>
    </row>
    <row r="27" spans="1:19" hidden="1" x14ac:dyDescent="0.3">
      <c r="A27" s="1" t="s">
        <v>84</v>
      </c>
      <c r="B27" s="1" t="s">
        <v>33</v>
      </c>
      <c r="C27" s="1" t="s">
        <v>58</v>
      </c>
      <c r="D27" s="1" t="s">
        <v>35</v>
      </c>
      <c r="E27" s="1" t="s">
        <v>29</v>
      </c>
      <c r="F27">
        <v>41</v>
      </c>
      <c r="G27" t="s">
        <v>59</v>
      </c>
      <c r="H27" s="2">
        <v>42111</v>
      </c>
      <c r="I27">
        <v>152239</v>
      </c>
      <c r="J27">
        <v>0.23</v>
      </c>
      <c r="K27">
        <v>187253.97</v>
      </c>
      <c r="L27" s="1" t="s">
        <v>23</v>
      </c>
      <c r="M27" s="1" t="s">
        <v>74</v>
      </c>
      <c r="N27" s="2"/>
      <c r="O27">
        <v>26</v>
      </c>
      <c r="P27">
        <v>0</v>
      </c>
      <c r="Q27" t="s">
        <v>25</v>
      </c>
      <c r="R27">
        <f ca="1">DATEDIF(EMP_RAW_Data[[#This Row],[Hire Date]],IF(EMP_RAW_Data[[#This Row],[Exit Date]]="",TODAY(),EMP_RAW_Data[[#This Row],[Exit Date]]),"Y")</f>
        <v>10</v>
      </c>
      <c r="S27" t="str">
        <f>IF(EMP_RAW_Data[[#This Row],[Status]]=1,"Inactive","Active")</f>
        <v>Active</v>
      </c>
    </row>
    <row r="28" spans="1:19" hidden="1" x14ac:dyDescent="0.3">
      <c r="A28" s="1" t="s">
        <v>85</v>
      </c>
      <c r="B28" s="1" t="s">
        <v>86</v>
      </c>
      <c r="C28" s="1" t="s">
        <v>62</v>
      </c>
      <c r="D28" s="1" t="s">
        <v>47</v>
      </c>
      <c r="E28" s="1" t="s">
        <v>21</v>
      </c>
      <c r="F28">
        <v>56</v>
      </c>
      <c r="G28" t="s">
        <v>22</v>
      </c>
      <c r="H28" s="2">
        <v>38388</v>
      </c>
      <c r="I28">
        <v>98581</v>
      </c>
      <c r="J28">
        <v>0</v>
      </c>
      <c r="K28">
        <v>98581</v>
      </c>
      <c r="L28" s="1" t="s">
        <v>77</v>
      </c>
      <c r="M28" s="1" t="s">
        <v>81</v>
      </c>
      <c r="N28" s="2"/>
      <c r="O28">
        <v>27</v>
      </c>
      <c r="P28">
        <v>0</v>
      </c>
      <c r="Q28" t="s">
        <v>25</v>
      </c>
      <c r="R28">
        <f ca="1">DATEDIF(EMP_RAW_Data[[#This Row],[Hire Date]],IF(EMP_RAW_Data[[#This Row],[Exit Date]]="",TODAY(),EMP_RAW_Data[[#This Row],[Exit Date]]),"Y")</f>
        <v>21</v>
      </c>
      <c r="S28" t="str">
        <f>IF(EMP_RAW_Data[[#This Row],[Status]]=1,"Inactive","Active")</f>
        <v>Active</v>
      </c>
    </row>
    <row r="29" spans="1:19" hidden="1" x14ac:dyDescent="0.3">
      <c r="A29" s="1" t="s">
        <v>87</v>
      </c>
      <c r="B29" s="1" t="s">
        <v>68</v>
      </c>
      <c r="C29" s="1" t="s">
        <v>62</v>
      </c>
      <c r="D29" s="1" t="s">
        <v>35</v>
      </c>
      <c r="E29" s="1" t="s">
        <v>29</v>
      </c>
      <c r="F29">
        <v>43</v>
      </c>
      <c r="G29" t="s">
        <v>59</v>
      </c>
      <c r="H29" s="2">
        <v>38145</v>
      </c>
      <c r="I29">
        <v>246231</v>
      </c>
      <c r="J29">
        <v>0.31</v>
      </c>
      <c r="K29">
        <v>322562.61</v>
      </c>
      <c r="L29" s="1" t="s">
        <v>23</v>
      </c>
      <c r="M29" s="1" t="s">
        <v>24</v>
      </c>
      <c r="N29" s="2"/>
      <c r="O29">
        <v>28</v>
      </c>
      <c r="P29">
        <v>0</v>
      </c>
      <c r="Q29" t="s">
        <v>25</v>
      </c>
      <c r="R29">
        <f ca="1">DATEDIF(EMP_RAW_Data[[#This Row],[Hire Date]],IF(EMP_RAW_Data[[#This Row],[Exit Date]]="",TODAY(),EMP_RAW_Data[[#This Row],[Exit Date]]),"Y")</f>
        <v>21</v>
      </c>
      <c r="S29" t="str">
        <f>IF(EMP_RAW_Data[[#This Row],[Status]]=1,"Inactive","Active")</f>
        <v>Active</v>
      </c>
    </row>
    <row r="30" spans="1:19" hidden="1" x14ac:dyDescent="0.3">
      <c r="A30" s="1" t="s">
        <v>88</v>
      </c>
      <c r="B30" s="1" t="s">
        <v>89</v>
      </c>
      <c r="C30" s="1" t="s">
        <v>62</v>
      </c>
      <c r="D30" s="1" t="s">
        <v>35</v>
      </c>
      <c r="E30" s="1" t="s">
        <v>29</v>
      </c>
      <c r="F30">
        <v>64</v>
      </c>
      <c r="G30" t="s">
        <v>22</v>
      </c>
      <c r="H30" s="2">
        <v>35403</v>
      </c>
      <c r="I30">
        <v>99354</v>
      </c>
      <c r="J30">
        <v>0.12</v>
      </c>
      <c r="K30">
        <v>111276.48</v>
      </c>
      <c r="L30" s="1" t="s">
        <v>30</v>
      </c>
      <c r="M30" s="1" t="s">
        <v>90</v>
      </c>
      <c r="N30" s="2"/>
      <c r="O30">
        <v>29</v>
      </c>
      <c r="P30">
        <v>0</v>
      </c>
      <c r="Q30" t="s">
        <v>25</v>
      </c>
      <c r="R30">
        <f ca="1">DATEDIF(EMP_RAW_Data[[#This Row],[Hire Date]],IF(EMP_RAW_Data[[#This Row],[Exit Date]]="",TODAY(),EMP_RAW_Data[[#This Row],[Exit Date]]),"Y")</f>
        <v>29</v>
      </c>
      <c r="S30" t="str">
        <f>IF(EMP_RAW_Data[[#This Row],[Status]]=1,"Inactive","Active")</f>
        <v>Active</v>
      </c>
    </row>
    <row r="31" spans="1:19" hidden="1" x14ac:dyDescent="0.3">
      <c r="A31" s="1" t="s">
        <v>91</v>
      </c>
      <c r="B31" s="1" t="s">
        <v>68</v>
      </c>
      <c r="C31" s="1" t="s">
        <v>19</v>
      </c>
      <c r="D31" s="1" t="s">
        <v>47</v>
      </c>
      <c r="E31" s="1" t="s">
        <v>29</v>
      </c>
      <c r="F31">
        <v>63</v>
      </c>
      <c r="G31" t="s">
        <v>22</v>
      </c>
      <c r="H31" s="2">
        <v>41040</v>
      </c>
      <c r="I31">
        <v>231141</v>
      </c>
      <c r="J31">
        <v>0.34</v>
      </c>
      <c r="K31">
        <v>309728.94</v>
      </c>
      <c r="L31" s="1" t="s">
        <v>30</v>
      </c>
      <c r="M31" s="1" t="s">
        <v>90</v>
      </c>
      <c r="N31" s="2"/>
      <c r="O31">
        <v>30</v>
      </c>
      <c r="P31">
        <v>0</v>
      </c>
      <c r="Q31" t="s">
        <v>25</v>
      </c>
      <c r="R31">
        <f ca="1">DATEDIF(EMP_RAW_Data[[#This Row],[Hire Date]],IF(EMP_RAW_Data[[#This Row],[Exit Date]]="",TODAY(),EMP_RAW_Data[[#This Row],[Exit Date]]),"Y")</f>
        <v>13</v>
      </c>
      <c r="S31" t="str">
        <f>IF(EMP_RAW_Data[[#This Row],[Status]]=1,"Inactive","Active")</f>
        <v>Active</v>
      </c>
    </row>
    <row r="32" spans="1:19" hidden="1" x14ac:dyDescent="0.3">
      <c r="A32" s="1" t="s">
        <v>92</v>
      </c>
      <c r="B32" s="1" t="s">
        <v>93</v>
      </c>
      <c r="C32" s="1" t="s">
        <v>19</v>
      </c>
      <c r="D32" s="1" t="s">
        <v>20</v>
      </c>
      <c r="E32" s="1" t="s">
        <v>29</v>
      </c>
      <c r="F32">
        <v>28</v>
      </c>
      <c r="G32" t="s">
        <v>40</v>
      </c>
      <c r="H32" s="2">
        <v>42911</v>
      </c>
      <c r="I32">
        <v>54775</v>
      </c>
      <c r="J32">
        <v>0</v>
      </c>
      <c r="K32">
        <v>54775</v>
      </c>
      <c r="L32" s="1" t="s">
        <v>23</v>
      </c>
      <c r="M32" s="1" t="s">
        <v>74</v>
      </c>
      <c r="N32" s="2"/>
      <c r="O32">
        <v>31</v>
      </c>
      <c r="P32">
        <v>0</v>
      </c>
      <c r="Q32" t="s">
        <v>25</v>
      </c>
      <c r="R32">
        <f ca="1">DATEDIF(EMP_RAW_Data[[#This Row],[Hire Date]],IF(EMP_RAW_Data[[#This Row],[Exit Date]]="",TODAY(),EMP_RAW_Data[[#This Row],[Exit Date]]),"Y")</f>
        <v>8</v>
      </c>
      <c r="S32" t="str">
        <f>IF(EMP_RAW_Data[[#This Row],[Status]]=1,"Inactive","Active")</f>
        <v>Active</v>
      </c>
    </row>
    <row r="33" spans="1:19" hidden="1" x14ac:dyDescent="0.3">
      <c r="A33" s="1" t="s">
        <v>94</v>
      </c>
      <c r="B33" s="1" t="s">
        <v>51</v>
      </c>
      <c r="C33" s="1" t="s">
        <v>34</v>
      </c>
      <c r="D33" s="1" t="s">
        <v>28</v>
      </c>
      <c r="E33" s="1" t="s">
        <v>29</v>
      </c>
      <c r="F33">
        <v>65</v>
      </c>
      <c r="G33" t="s">
        <v>71</v>
      </c>
      <c r="H33" s="2">
        <v>38123</v>
      </c>
      <c r="I33">
        <v>55499</v>
      </c>
      <c r="J33">
        <v>0</v>
      </c>
      <c r="K33">
        <v>55499</v>
      </c>
      <c r="L33" s="1" t="s">
        <v>77</v>
      </c>
      <c r="M33" s="1" t="s">
        <v>78</v>
      </c>
      <c r="N33" s="2"/>
      <c r="O33">
        <v>32</v>
      </c>
      <c r="P33">
        <v>0</v>
      </c>
      <c r="Q33" t="s">
        <v>25</v>
      </c>
      <c r="R33">
        <f ca="1">DATEDIF(EMP_RAW_Data[[#This Row],[Hire Date]],IF(EMP_RAW_Data[[#This Row],[Exit Date]]="",TODAY(),EMP_RAW_Data[[#This Row],[Exit Date]]),"Y")</f>
        <v>21</v>
      </c>
      <c r="S33" t="str">
        <f>IF(EMP_RAW_Data[[#This Row],[Status]]=1,"Inactive","Active")</f>
        <v>Active</v>
      </c>
    </row>
    <row r="34" spans="1:19" hidden="1" x14ac:dyDescent="0.3">
      <c r="A34" s="1" t="s">
        <v>95</v>
      </c>
      <c r="B34" s="1" t="s">
        <v>96</v>
      </c>
      <c r="C34" s="1" t="s">
        <v>46</v>
      </c>
      <c r="D34" s="1" t="s">
        <v>20</v>
      </c>
      <c r="E34" s="1" t="s">
        <v>29</v>
      </c>
      <c r="F34">
        <v>61</v>
      </c>
      <c r="G34" t="s">
        <v>22</v>
      </c>
      <c r="H34" s="2">
        <v>39640</v>
      </c>
      <c r="I34">
        <v>66521</v>
      </c>
      <c r="J34">
        <v>0</v>
      </c>
      <c r="K34">
        <v>66521</v>
      </c>
      <c r="L34" s="1" t="s">
        <v>23</v>
      </c>
      <c r="M34" s="1" t="s">
        <v>24</v>
      </c>
      <c r="N34" s="2"/>
      <c r="O34">
        <v>33</v>
      </c>
      <c r="P34">
        <v>0</v>
      </c>
      <c r="Q34" t="s">
        <v>25</v>
      </c>
      <c r="R34">
        <f ca="1">DATEDIF(EMP_RAW_Data[[#This Row],[Hire Date]],IF(EMP_RAW_Data[[#This Row],[Exit Date]]="",TODAY(),EMP_RAW_Data[[#This Row],[Exit Date]]),"Y")</f>
        <v>17</v>
      </c>
      <c r="S34" t="str">
        <f>IF(EMP_RAW_Data[[#This Row],[Status]]=1,"Inactive","Active")</f>
        <v>Active</v>
      </c>
    </row>
    <row r="35" spans="1:19" hidden="1" x14ac:dyDescent="0.3">
      <c r="A35" s="1" t="s">
        <v>97</v>
      </c>
      <c r="B35" s="1" t="s">
        <v>45</v>
      </c>
      <c r="C35" s="1" t="s">
        <v>46</v>
      </c>
      <c r="D35" s="1" t="s">
        <v>35</v>
      </c>
      <c r="E35" s="1" t="s">
        <v>29</v>
      </c>
      <c r="F35">
        <v>30</v>
      </c>
      <c r="G35" t="s">
        <v>40</v>
      </c>
      <c r="H35" s="2">
        <v>42642</v>
      </c>
      <c r="I35">
        <v>59100</v>
      </c>
      <c r="J35">
        <v>0</v>
      </c>
      <c r="K35">
        <v>59100</v>
      </c>
      <c r="L35" s="1" t="s">
        <v>30</v>
      </c>
      <c r="M35" s="1" t="s">
        <v>31</v>
      </c>
      <c r="N35" s="2"/>
      <c r="O35">
        <v>34</v>
      </c>
      <c r="P35">
        <v>0</v>
      </c>
      <c r="Q35" t="s">
        <v>25</v>
      </c>
      <c r="R35">
        <f ca="1">DATEDIF(EMP_RAW_Data[[#This Row],[Hire Date]],IF(EMP_RAW_Data[[#This Row],[Exit Date]]="",TODAY(),EMP_RAW_Data[[#This Row],[Exit Date]]),"Y")</f>
        <v>9</v>
      </c>
      <c r="S35" t="str">
        <f>IF(EMP_RAW_Data[[#This Row],[Status]]=1,"Inactive","Active")</f>
        <v>Active</v>
      </c>
    </row>
    <row r="36" spans="1:19" hidden="1" x14ac:dyDescent="0.3">
      <c r="A36" s="1" t="s">
        <v>98</v>
      </c>
      <c r="B36" s="1" t="s">
        <v>51</v>
      </c>
      <c r="C36" s="1" t="s">
        <v>34</v>
      </c>
      <c r="D36" s="1" t="s">
        <v>20</v>
      </c>
      <c r="E36" s="1" t="s">
        <v>21</v>
      </c>
      <c r="F36">
        <v>27</v>
      </c>
      <c r="G36" t="s">
        <v>40</v>
      </c>
      <c r="H36" s="2">
        <v>43226</v>
      </c>
      <c r="I36">
        <v>49011</v>
      </c>
      <c r="J36">
        <v>0</v>
      </c>
      <c r="K36">
        <v>49011</v>
      </c>
      <c r="L36" s="1" t="s">
        <v>23</v>
      </c>
      <c r="M36" s="1" t="s">
        <v>37</v>
      </c>
      <c r="N36" s="2"/>
      <c r="O36">
        <v>35</v>
      </c>
      <c r="P36">
        <v>0</v>
      </c>
      <c r="Q36" t="s">
        <v>25</v>
      </c>
      <c r="R36">
        <f ca="1">DATEDIF(EMP_RAW_Data[[#This Row],[Hire Date]],IF(EMP_RAW_Data[[#This Row],[Exit Date]]="",TODAY(),EMP_RAW_Data[[#This Row],[Exit Date]]),"Y")</f>
        <v>7</v>
      </c>
      <c r="S36" t="str">
        <f>IF(EMP_RAW_Data[[#This Row],[Status]]=1,"Inactive","Active")</f>
        <v>Active</v>
      </c>
    </row>
    <row r="37" spans="1:19" hidden="1" x14ac:dyDescent="0.3">
      <c r="A37" s="1" t="s">
        <v>99</v>
      </c>
      <c r="B37" s="1" t="s">
        <v>100</v>
      </c>
      <c r="C37" s="1" t="s">
        <v>19</v>
      </c>
      <c r="D37" s="1" t="s">
        <v>28</v>
      </c>
      <c r="E37" s="1" t="s">
        <v>21</v>
      </c>
      <c r="F37">
        <v>32</v>
      </c>
      <c r="G37" t="s">
        <v>40</v>
      </c>
      <c r="H37" s="2">
        <v>41681</v>
      </c>
      <c r="I37">
        <v>99575</v>
      </c>
      <c r="J37">
        <v>0</v>
      </c>
      <c r="K37">
        <v>99575</v>
      </c>
      <c r="L37" s="1" t="s">
        <v>23</v>
      </c>
      <c r="M37" s="1" t="s">
        <v>55</v>
      </c>
      <c r="N37" s="2"/>
      <c r="O37">
        <v>36</v>
      </c>
      <c r="P37">
        <v>0</v>
      </c>
      <c r="Q37" t="s">
        <v>25</v>
      </c>
      <c r="R37">
        <f ca="1">DATEDIF(EMP_RAW_Data[[#This Row],[Hire Date]],IF(EMP_RAW_Data[[#This Row],[Exit Date]]="",TODAY(),EMP_RAW_Data[[#This Row],[Exit Date]]),"Y")</f>
        <v>12</v>
      </c>
      <c r="S37" t="str">
        <f>IF(EMP_RAW_Data[[#This Row],[Status]]=1,"Inactive","Active")</f>
        <v>Active</v>
      </c>
    </row>
    <row r="38" spans="1:19" hidden="1" x14ac:dyDescent="0.3">
      <c r="A38" s="1" t="s">
        <v>101</v>
      </c>
      <c r="B38" s="1" t="s">
        <v>61</v>
      </c>
      <c r="C38" s="1" t="s">
        <v>62</v>
      </c>
      <c r="D38" s="1" t="s">
        <v>28</v>
      </c>
      <c r="E38" s="1" t="s">
        <v>21</v>
      </c>
      <c r="F38">
        <v>34</v>
      </c>
      <c r="G38" t="s">
        <v>40</v>
      </c>
      <c r="H38" s="2">
        <v>43815</v>
      </c>
      <c r="I38">
        <v>99989</v>
      </c>
      <c r="J38">
        <v>0</v>
      </c>
      <c r="K38">
        <v>99989</v>
      </c>
      <c r="L38" s="1" t="s">
        <v>30</v>
      </c>
      <c r="M38" s="1" t="s">
        <v>102</v>
      </c>
      <c r="N38" s="2"/>
      <c r="O38">
        <v>37</v>
      </c>
      <c r="P38">
        <v>0</v>
      </c>
      <c r="Q38" t="s">
        <v>25</v>
      </c>
      <c r="R38">
        <f ca="1">DATEDIF(EMP_RAW_Data[[#This Row],[Hire Date]],IF(EMP_RAW_Data[[#This Row],[Exit Date]]="",TODAY(),EMP_RAW_Data[[#This Row],[Exit Date]]),"Y")</f>
        <v>6</v>
      </c>
      <c r="S38" t="str">
        <f>IF(EMP_RAW_Data[[#This Row],[Status]]=1,"Inactive","Active")</f>
        <v>Active</v>
      </c>
    </row>
    <row r="39" spans="1:19" hidden="1" x14ac:dyDescent="0.3">
      <c r="A39" s="1" t="s">
        <v>103</v>
      </c>
      <c r="B39" s="1" t="s">
        <v>68</v>
      </c>
      <c r="C39" s="1" t="s">
        <v>69</v>
      </c>
      <c r="D39" s="1" t="s">
        <v>20</v>
      </c>
      <c r="E39" s="1" t="s">
        <v>29</v>
      </c>
      <c r="F39">
        <v>27</v>
      </c>
      <c r="G39" t="s">
        <v>40</v>
      </c>
      <c r="H39" s="2">
        <v>43758</v>
      </c>
      <c r="I39">
        <v>256420</v>
      </c>
      <c r="J39">
        <v>0.3</v>
      </c>
      <c r="K39">
        <v>333346</v>
      </c>
      <c r="L39" s="1" t="s">
        <v>23</v>
      </c>
      <c r="M39" s="1" t="s">
        <v>43</v>
      </c>
      <c r="N39" s="2"/>
      <c r="O39">
        <v>38</v>
      </c>
      <c r="P39">
        <v>0</v>
      </c>
      <c r="Q39" t="s">
        <v>25</v>
      </c>
      <c r="R39">
        <f ca="1">DATEDIF(EMP_RAW_Data[[#This Row],[Hire Date]],IF(EMP_RAW_Data[[#This Row],[Exit Date]]="",TODAY(),EMP_RAW_Data[[#This Row],[Exit Date]]),"Y")</f>
        <v>6</v>
      </c>
      <c r="S39" t="str">
        <f>IF(EMP_RAW_Data[[#This Row],[Status]]=1,"Inactive","Active")</f>
        <v>Active</v>
      </c>
    </row>
    <row r="40" spans="1:19" hidden="1" x14ac:dyDescent="0.3">
      <c r="A40" s="1" t="s">
        <v>104</v>
      </c>
      <c r="B40" s="1" t="s">
        <v>27</v>
      </c>
      <c r="C40" s="1" t="s">
        <v>19</v>
      </c>
      <c r="D40" s="1" t="s">
        <v>28</v>
      </c>
      <c r="E40" s="1" t="s">
        <v>21</v>
      </c>
      <c r="F40">
        <v>35</v>
      </c>
      <c r="G40" t="s">
        <v>59</v>
      </c>
      <c r="H40" s="2">
        <v>41409</v>
      </c>
      <c r="I40">
        <v>78940</v>
      </c>
      <c r="J40">
        <v>0</v>
      </c>
      <c r="K40">
        <v>78940</v>
      </c>
      <c r="L40" s="1" t="s">
        <v>23</v>
      </c>
      <c r="M40" s="1" t="s">
        <v>52</v>
      </c>
      <c r="N40" s="2"/>
      <c r="O40">
        <v>39</v>
      </c>
      <c r="P40">
        <v>0</v>
      </c>
      <c r="Q40" t="s">
        <v>25</v>
      </c>
      <c r="R40">
        <f ca="1">DATEDIF(EMP_RAW_Data[[#This Row],[Hire Date]],IF(EMP_RAW_Data[[#This Row],[Exit Date]]="",TODAY(),EMP_RAW_Data[[#This Row],[Exit Date]]),"Y")</f>
        <v>12</v>
      </c>
      <c r="S40" t="str">
        <f>IF(EMP_RAW_Data[[#This Row],[Status]]=1,"Inactive","Active")</f>
        <v>Active</v>
      </c>
    </row>
    <row r="41" spans="1:19" hidden="1" x14ac:dyDescent="0.3">
      <c r="A41" s="1" t="s">
        <v>105</v>
      </c>
      <c r="B41" s="1" t="s">
        <v>100</v>
      </c>
      <c r="C41" s="1" t="s">
        <v>19</v>
      </c>
      <c r="D41" s="1" t="s">
        <v>47</v>
      </c>
      <c r="E41" s="1" t="s">
        <v>21</v>
      </c>
      <c r="F41">
        <v>57</v>
      </c>
      <c r="G41" t="s">
        <v>22</v>
      </c>
      <c r="H41" s="2">
        <v>34337</v>
      </c>
      <c r="I41">
        <v>82872</v>
      </c>
      <c r="J41">
        <v>0</v>
      </c>
      <c r="K41">
        <v>82872</v>
      </c>
      <c r="L41" s="1" t="s">
        <v>77</v>
      </c>
      <c r="M41" s="1" t="s">
        <v>78</v>
      </c>
      <c r="N41" s="2"/>
      <c r="O41">
        <v>40</v>
      </c>
      <c r="P41">
        <v>0</v>
      </c>
      <c r="Q41" t="s">
        <v>25</v>
      </c>
      <c r="R41">
        <f ca="1">DATEDIF(EMP_RAW_Data[[#This Row],[Hire Date]],IF(EMP_RAW_Data[[#This Row],[Exit Date]]="",TODAY(),EMP_RAW_Data[[#This Row],[Exit Date]]),"Y")</f>
        <v>32</v>
      </c>
      <c r="S41" t="str">
        <f>IF(EMP_RAW_Data[[#This Row],[Status]]=1,"Inactive","Active")</f>
        <v>Active</v>
      </c>
    </row>
    <row r="42" spans="1:19" x14ac:dyDescent="0.3">
      <c r="A42" s="1" t="s">
        <v>106</v>
      </c>
      <c r="B42" s="1" t="s">
        <v>107</v>
      </c>
      <c r="C42" s="1" t="s">
        <v>58</v>
      </c>
      <c r="D42" s="1" t="s">
        <v>35</v>
      </c>
      <c r="E42" s="1" t="s">
        <v>29</v>
      </c>
      <c r="F42">
        <v>30</v>
      </c>
      <c r="G42" t="s">
        <v>40</v>
      </c>
      <c r="H42" s="2">
        <v>42884</v>
      </c>
      <c r="I42">
        <v>86317</v>
      </c>
      <c r="J42">
        <v>0</v>
      </c>
      <c r="K42">
        <v>86317</v>
      </c>
      <c r="L42" s="1" t="s">
        <v>30</v>
      </c>
      <c r="M42" s="1" t="s">
        <v>102</v>
      </c>
      <c r="N42" s="2">
        <v>42932</v>
      </c>
      <c r="O42">
        <v>41</v>
      </c>
      <c r="P42">
        <v>1</v>
      </c>
      <c r="Q42" t="s">
        <v>25</v>
      </c>
      <c r="R42">
        <f ca="1">DATEDIF(EMP_RAW_Data[[#This Row],[Hire Date]],IF(EMP_RAW_Data[[#This Row],[Exit Date]]="",TODAY(),EMP_RAW_Data[[#This Row],[Exit Date]]),"Y")</f>
        <v>0</v>
      </c>
      <c r="S42" t="str">
        <f>IF(EMP_RAW_Data[[#This Row],[Status]]=1,"Inactive","Active")</f>
        <v>Inactive</v>
      </c>
    </row>
    <row r="43" spans="1:19" hidden="1" x14ac:dyDescent="0.3">
      <c r="A43" s="1" t="s">
        <v>108</v>
      </c>
      <c r="B43" s="1" t="s">
        <v>49</v>
      </c>
      <c r="C43" s="1" t="s">
        <v>69</v>
      </c>
      <c r="D43" s="1" t="s">
        <v>35</v>
      </c>
      <c r="E43" s="1" t="s">
        <v>21</v>
      </c>
      <c r="F43">
        <v>53</v>
      </c>
      <c r="G43" t="s">
        <v>36</v>
      </c>
      <c r="H43" s="2">
        <v>41601</v>
      </c>
      <c r="I43">
        <v>113135</v>
      </c>
      <c r="J43">
        <v>0.05</v>
      </c>
      <c r="K43">
        <v>118791.75</v>
      </c>
      <c r="L43" s="1" t="s">
        <v>23</v>
      </c>
      <c r="M43" s="1" t="s">
        <v>55</v>
      </c>
      <c r="N43" s="2"/>
      <c r="O43">
        <v>42</v>
      </c>
      <c r="P43">
        <v>0</v>
      </c>
      <c r="Q43" t="s">
        <v>25</v>
      </c>
      <c r="R43">
        <f ca="1">DATEDIF(EMP_RAW_Data[[#This Row],[Hire Date]],IF(EMP_RAW_Data[[#This Row],[Exit Date]]="",TODAY(),EMP_RAW_Data[[#This Row],[Exit Date]]),"Y")</f>
        <v>12</v>
      </c>
      <c r="S43" t="str">
        <f>IF(EMP_RAW_Data[[#This Row],[Status]]=1,"Inactive","Active")</f>
        <v>Active</v>
      </c>
    </row>
    <row r="44" spans="1:19" hidden="1" x14ac:dyDescent="0.3">
      <c r="A44" s="1" t="s">
        <v>109</v>
      </c>
      <c r="B44" s="1" t="s">
        <v>68</v>
      </c>
      <c r="C44" s="1" t="s">
        <v>19</v>
      </c>
      <c r="D44" s="1" t="s">
        <v>35</v>
      </c>
      <c r="E44" s="1" t="s">
        <v>29</v>
      </c>
      <c r="F44">
        <v>52</v>
      </c>
      <c r="G44" t="s">
        <v>36</v>
      </c>
      <c r="H44" s="2">
        <v>38664</v>
      </c>
      <c r="I44">
        <v>199808</v>
      </c>
      <c r="J44">
        <v>0.32</v>
      </c>
      <c r="K44">
        <v>263746.56</v>
      </c>
      <c r="L44" s="1" t="s">
        <v>23</v>
      </c>
      <c r="M44" s="1" t="s">
        <v>24</v>
      </c>
      <c r="N44" s="2"/>
      <c r="O44">
        <v>43</v>
      </c>
      <c r="P44">
        <v>0</v>
      </c>
      <c r="Q44" t="s">
        <v>25</v>
      </c>
      <c r="R44">
        <f ca="1">DATEDIF(EMP_RAW_Data[[#This Row],[Hire Date]],IF(EMP_RAW_Data[[#This Row],[Exit Date]]="",TODAY(),EMP_RAW_Data[[#This Row],[Exit Date]]),"Y")</f>
        <v>20</v>
      </c>
      <c r="S44" t="str">
        <f>IF(EMP_RAW_Data[[#This Row],[Status]]=1,"Inactive","Active")</f>
        <v>Active</v>
      </c>
    </row>
    <row r="45" spans="1:19" hidden="1" x14ac:dyDescent="0.3">
      <c r="A45" s="1" t="s">
        <v>110</v>
      </c>
      <c r="B45" s="1" t="s">
        <v>45</v>
      </c>
      <c r="C45" s="1" t="s">
        <v>46</v>
      </c>
      <c r="D45" s="1" t="s">
        <v>35</v>
      </c>
      <c r="E45" s="1" t="s">
        <v>29</v>
      </c>
      <c r="F45">
        <v>37</v>
      </c>
      <c r="G45" t="s">
        <v>59</v>
      </c>
      <c r="H45" s="2">
        <v>41592</v>
      </c>
      <c r="I45">
        <v>56037</v>
      </c>
      <c r="J45">
        <v>0</v>
      </c>
      <c r="K45">
        <v>56037</v>
      </c>
      <c r="L45" s="1" t="s">
        <v>30</v>
      </c>
      <c r="M45" s="1" t="s">
        <v>65</v>
      </c>
      <c r="N45" s="2"/>
      <c r="O45">
        <v>44</v>
      </c>
      <c r="P45">
        <v>0</v>
      </c>
      <c r="Q45" t="s">
        <v>25</v>
      </c>
      <c r="R45">
        <f ca="1">DATEDIF(EMP_RAW_Data[[#This Row],[Hire Date]],IF(EMP_RAW_Data[[#This Row],[Exit Date]]="",TODAY(),EMP_RAW_Data[[#This Row],[Exit Date]]),"Y")</f>
        <v>12</v>
      </c>
      <c r="S45" t="str">
        <f>IF(EMP_RAW_Data[[#This Row],[Status]]=1,"Inactive","Active")</f>
        <v>Active</v>
      </c>
    </row>
    <row r="46" spans="1:19" hidden="1" x14ac:dyDescent="0.3">
      <c r="A46" s="1" t="s">
        <v>111</v>
      </c>
      <c r="B46" s="1" t="s">
        <v>18</v>
      </c>
      <c r="C46" s="1" t="s">
        <v>69</v>
      </c>
      <c r="D46" s="1" t="s">
        <v>20</v>
      </c>
      <c r="E46" s="1" t="s">
        <v>21</v>
      </c>
      <c r="F46">
        <v>29</v>
      </c>
      <c r="G46" t="s">
        <v>40</v>
      </c>
      <c r="H46" s="2">
        <v>43609</v>
      </c>
      <c r="I46">
        <v>122350</v>
      </c>
      <c r="J46">
        <v>0.12</v>
      </c>
      <c r="K46">
        <v>137032</v>
      </c>
      <c r="L46" s="1" t="s">
        <v>23</v>
      </c>
      <c r="M46" s="1" t="s">
        <v>43</v>
      </c>
      <c r="N46" s="2"/>
      <c r="O46">
        <v>45</v>
      </c>
      <c r="P46">
        <v>0</v>
      </c>
      <c r="Q46" t="s">
        <v>25</v>
      </c>
      <c r="R46">
        <f ca="1">DATEDIF(EMP_RAW_Data[[#This Row],[Hire Date]],IF(EMP_RAW_Data[[#This Row],[Exit Date]]="",TODAY(),EMP_RAW_Data[[#This Row],[Exit Date]]),"Y")</f>
        <v>6</v>
      </c>
      <c r="S46" t="str">
        <f>IF(EMP_RAW_Data[[#This Row],[Status]]=1,"Inactive","Active")</f>
        <v>Active</v>
      </c>
    </row>
    <row r="47" spans="1:19" hidden="1" x14ac:dyDescent="0.3">
      <c r="A47" s="1" t="s">
        <v>112</v>
      </c>
      <c r="B47" s="1" t="s">
        <v>100</v>
      </c>
      <c r="C47" s="1" t="s">
        <v>19</v>
      </c>
      <c r="D47" s="1" t="s">
        <v>20</v>
      </c>
      <c r="E47" s="1" t="s">
        <v>29</v>
      </c>
      <c r="F47">
        <v>40</v>
      </c>
      <c r="G47" t="s">
        <v>59</v>
      </c>
      <c r="H47" s="2">
        <v>40486</v>
      </c>
      <c r="I47">
        <v>92952</v>
      </c>
      <c r="J47">
        <v>0</v>
      </c>
      <c r="K47">
        <v>92952</v>
      </c>
      <c r="L47" s="1" t="s">
        <v>23</v>
      </c>
      <c r="M47" s="1" t="s">
        <v>24</v>
      </c>
      <c r="N47" s="2"/>
      <c r="O47">
        <v>46</v>
      </c>
      <c r="P47">
        <v>0</v>
      </c>
      <c r="Q47" t="s">
        <v>25</v>
      </c>
      <c r="R47">
        <f ca="1">DATEDIF(EMP_RAW_Data[[#This Row],[Hire Date]],IF(EMP_RAW_Data[[#This Row],[Exit Date]]="",TODAY(),EMP_RAW_Data[[#This Row],[Exit Date]]),"Y")</f>
        <v>15</v>
      </c>
      <c r="S47" t="str">
        <f>IF(EMP_RAW_Data[[#This Row],[Status]]=1,"Inactive","Active")</f>
        <v>Active</v>
      </c>
    </row>
    <row r="48" spans="1:19" hidden="1" x14ac:dyDescent="0.3">
      <c r="A48" s="1" t="s">
        <v>113</v>
      </c>
      <c r="B48" s="1" t="s">
        <v>39</v>
      </c>
      <c r="C48" s="1" t="s">
        <v>19</v>
      </c>
      <c r="D48" s="1" t="s">
        <v>47</v>
      </c>
      <c r="E48" s="1" t="s">
        <v>29</v>
      </c>
      <c r="F48">
        <v>32</v>
      </c>
      <c r="G48" t="s">
        <v>40</v>
      </c>
      <c r="H48" s="2">
        <v>41353</v>
      </c>
      <c r="I48">
        <v>79921</v>
      </c>
      <c r="J48">
        <v>0.05</v>
      </c>
      <c r="K48">
        <v>83917.05</v>
      </c>
      <c r="L48" s="1" t="s">
        <v>23</v>
      </c>
      <c r="M48" s="1" t="s">
        <v>55</v>
      </c>
      <c r="N48" s="2"/>
      <c r="O48">
        <v>47</v>
      </c>
      <c r="P48">
        <v>0</v>
      </c>
      <c r="Q48" t="s">
        <v>25</v>
      </c>
      <c r="R48">
        <f ca="1">DATEDIF(EMP_RAW_Data[[#This Row],[Hire Date]],IF(EMP_RAW_Data[[#This Row],[Exit Date]]="",TODAY(),EMP_RAW_Data[[#This Row],[Exit Date]]),"Y")</f>
        <v>12</v>
      </c>
      <c r="S48" t="str">
        <f>IF(EMP_RAW_Data[[#This Row],[Status]]=1,"Inactive","Active")</f>
        <v>Active</v>
      </c>
    </row>
    <row r="49" spans="1:19" hidden="1" x14ac:dyDescent="0.3">
      <c r="A49" s="1" t="s">
        <v>114</v>
      </c>
      <c r="B49" s="1" t="s">
        <v>33</v>
      </c>
      <c r="C49" s="1" t="s">
        <v>19</v>
      </c>
      <c r="D49" s="1" t="s">
        <v>20</v>
      </c>
      <c r="E49" s="1" t="s">
        <v>21</v>
      </c>
      <c r="F49">
        <v>37</v>
      </c>
      <c r="G49" t="s">
        <v>59</v>
      </c>
      <c r="H49" s="2">
        <v>40076</v>
      </c>
      <c r="I49">
        <v>167199</v>
      </c>
      <c r="J49">
        <v>0.2</v>
      </c>
      <c r="K49">
        <v>200638.8</v>
      </c>
      <c r="L49" s="1" t="s">
        <v>23</v>
      </c>
      <c r="M49" s="1" t="s">
        <v>24</v>
      </c>
      <c r="N49" s="2"/>
      <c r="O49">
        <v>48</v>
      </c>
      <c r="P49">
        <v>0</v>
      </c>
      <c r="Q49" t="s">
        <v>25</v>
      </c>
      <c r="R49">
        <f ca="1">DATEDIF(EMP_RAW_Data[[#This Row],[Hire Date]],IF(EMP_RAW_Data[[#This Row],[Exit Date]]="",TODAY(),EMP_RAW_Data[[#This Row],[Exit Date]]),"Y")</f>
        <v>16</v>
      </c>
      <c r="S49" t="str">
        <f>IF(EMP_RAW_Data[[#This Row],[Status]]=1,"Inactive","Active")</f>
        <v>Active</v>
      </c>
    </row>
    <row r="50" spans="1:19" hidden="1" x14ac:dyDescent="0.3">
      <c r="A50" s="1" t="s">
        <v>115</v>
      </c>
      <c r="B50" s="1" t="s">
        <v>86</v>
      </c>
      <c r="C50" s="1" t="s">
        <v>62</v>
      </c>
      <c r="D50" s="1" t="s">
        <v>20</v>
      </c>
      <c r="E50" s="1" t="s">
        <v>29</v>
      </c>
      <c r="F50">
        <v>52</v>
      </c>
      <c r="G50" t="s">
        <v>36</v>
      </c>
      <c r="H50" s="2">
        <v>41199</v>
      </c>
      <c r="I50">
        <v>71476</v>
      </c>
      <c r="J50">
        <v>0</v>
      </c>
      <c r="K50">
        <v>71476</v>
      </c>
      <c r="L50" s="1" t="s">
        <v>23</v>
      </c>
      <c r="M50" s="1" t="s">
        <v>43</v>
      </c>
      <c r="N50" s="2"/>
      <c r="O50">
        <v>49</v>
      </c>
      <c r="P50">
        <v>0</v>
      </c>
      <c r="Q50" t="s">
        <v>25</v>
      </c>
      <c r="R50">
        <f ca="1">DATEDIF(EMP_RAW_Data[[#This Row],[Hire Date]],IF(EMP_RAW_Data[[#This Row],[Exit Date]]="",TODAY(),EMP_RAW_Data[[#This Row],[Exit Date]]),"Y")</f>
        <v>13</v>
      </c>
      <c r="S50" t="str">
        <f>IF(EMP_RAW_Data[[#This Row],[Status]]=1,"Inactive","Active")</f>
        <v>Active</v>
      </c>
    </row>
    <row r="51" spans="1:19" hidden="1" x14ac:dyDescent="0.3">
      <c r="A51" s="1" t="s">
        <v>116</v>
      </c>
      <c r="B51" s="1" t="s">
        <v>33</v>
      </c>
      <c r="C51" s="1" t="s">
        <v>62</v>
      </c>
      <c r="D51" s="1" t="s">
        <v>28</v>
      </c>
      <c r="E51" s="1" t="s">
        <v>21</v>
      </c>
      <c r="F51">
        <v>45</v>
      </c>
      <c r="G51" t="s">
        <v>36</v>
      </c>
      <c r="H51" s="2">
        <v>41941</v>
      </c>
      <c r="I51">
        <v>189420</v>
      </c>
      <c r="J51">
        <v>0.2</v>
      </c>
      <c r="K51">
        <v>227304</v>
      </c>
      <c r="L51" s="1" t="s">
        <v>23</v>
      </c>
      <c r="M51" s="1" t="s">
        <v>24</v>
      </c>
      <c r="N51" s="2"/>
      <c r="O51">
        <v>50</v>
      </c>
      <c r="P51">
        <v>0</v>
      </c>
      <c r="Q51" t="s">
        <v>25</v>
      </c>
      <c r="R51">
        <f ca="1">DATEDIF(EMP_RAW_Data[[#This Row],[Hire Date]],IF(EMP_RAW_Data[[#This Row],[Exit Date]]="",TODAY(),EMP_RAW_Data[[#This Row],[Exit Date]]),"Y")</f>
        <v>11</v>
      </c>
      <c r="S51" t="str">
        <f>IF(EMP_RAW_Data[[#This Row],[Status]]=1,"Inactive","Active")</f>
        <v>Active</v>
      </c>
    </row>
    <row r="52" spans="1:19" hidden="1" x14ac:dyDescent="0.3">
      <c r="A52" s="1" t="s">
        <v>117</v>
      </c>
      <c r="B52" s="1" t="s">
        <v>118</v>
      </c>
      <c r="C52" s="1" t="s">
        <v>58</v>
      </c>
      <c r="D52" s="1" t="s">
        <v>20</v>
      </c>
      <c r="E52" s="1" t="s">
        <v>21</v>
      </c>
      <c r="F52">
        <v>64</v>
      </c>
      <c r="G52" t="s">
        <v>22</v>
      </c>
      <c r="H52" s="2">
        <v>37184</v>
      </c>
      <c r="I52">
        <v>64057</v>
      </c>
      <c r="J52">
        <v>0</v>
      </c>
      <c r="K52">
        <v>64057</v>
      </c>
      <c r="L52" s="1" t="s">
        <v>23</v>
      </c>
      <c r="M52" s="1" t="s">
        <v>43</v>
      </c>
      <c r="N52" s="2"/>
      <c r="O52">
        <v>51</v>
      </c>
      <c r="P52">
        <v>0</v>
      </c>
      <c r="Q52" t="s">
        <v>25</v>
      </c>
      <c r="R52">
        <f ca="1">DATEDIF(EMP_RAW_Data[[#This Row],[Hire Date]],IF(EMP_RAW_Data[[#This Row],[Exit Date]]="",TODAY(),EMP_RAW_Data[[#This Row],[Exit Date]]),"Y")</f>
        <v>24</v>
      </c>
      <c r="S52" t="str">
        <f>IF(EMP_RAW_Data[[#This Row],[Status]]=1,"Inactive","Active")</f>
        <v>Active</v>
      </c>
    </row>
    <row r="53" spans="1:19" hidden="1" x14ac:dyDescent="0.3">
      <c r="A53" s="1" t="s">
        <v>119</v>
      </c>
      <c r="B53" s="1" t="s">
        <v>96</v>
      </c>
      <c r="C53" s="1" t="s">
        <v>69</v>
      </c>
      <c r="D53" s="1" t="s">
        <v>28</v>
      </c>
      <c r="E53" s="1" t="s">
        <v>21</v>
      </c>
      <c r="F53">
        <v>27</v>
      </c>
      <c r="G53" t="s">
        <v>40</v>
      </c>
      <c r="H53" s="2">
        <v>44460</v>
      </c>
      <c r="I53">
        <v>68728</v>
      </c>
      <c r="J53">
        <v>0</v>
      </c>
      <c r="K53">
        <v>68728</v>
      </c>
      <c r="L53" s="1" t="s">
        <v>23</v>
      </c>
      <c r="M53" s="1" t="s">
        <v>43</v>
      </c>
      <c r="N53" s="2"/>
      <c r="O53">
        <v>52</v>
      </c>
      <c r="P53">
        <v>0</v>
      </c>
      <c r="Q53" t="s">
        <v>25</v>
      </c>
      <c r="R53">
        <f ca="1">DATEDIF(EMP_RAW_Data[[#This Row],[Hire Date]],IF(EMP_RAW_Data[[#This Row],[Exit Date]]="",TODAY(),EMP_RAW_Data[[#This Row],[Exit Date]]),"Y")</f>
        <v>4</v>
      </c>
      <c r="S53" t="str">
        <f>IF(EMP_RAW_Data[[#This Row],[Status]]=1,"Inactive","Active")</f>
        <v>Active</v>
      </c>
    </row>
    <row r="54" spans="1:19" hidden="1" x14ac:dyDescent="0.3">
      <c r="A54" s="1" t="s">
        <v>120</v>
      </c>
      <c r="B54" s="1" t="s">
        <v>18</v>
      </c>
      <c r="C54" s="1" t="s">
        <v>19</v>
      </c>
      <c r="D54" s="1" t="s">
        <v>28</v>
      </c>
      <c r="E54" s="1" t="s">
        <v>21</v>
      </c>
      <c r="F54">
        <v>25</v>
      </c>
      <c r="G54" t="s">
        <v>40</v>
      </c>
      <c r="H54" s="2">
        <v>44379</v>
      </c>
      <c r="I54">
        <v>125633</v>
      </c>
      <c r="J54">
        <v>0.11</v>
      </c>
      <c r="K54">
        <v>139452.63</v>
      </c>
      <c r="L54" s="1" t="s">
        <v>30</v>
      </c>
      <c r="M54" s="1" t="s">
        <v>90</v>
      </c>
      <c r="N54" s="2"/>
      <c r="O54">
        <v>53</v>
      </c>
      <c r="P54">
        <v>0</v>
      </c>
      <c r="Q54" t="s">
        <v>25</v>
      </c>
      <c r="R54">
        <f ca="1">DATEDIF(EMP_RAW_Data[[#This Row],[Hire Date]],IF(EMP_RAW_Data[[#This Row],[Exit Date]]="",TODAY(),EMP_RAW_Data[[#This Row],[Exit Date]]),"Y")</f>
        <v>4</v>
      </c>
      <c r="S54" t="str">
        <f>IF(EMP_RAW_Data[[#This Row],[Status]]=1,"Inactive","Active")</f>
        <v>Active</v>
      </c>
    </row>
    <row r="55" spans="1:19" hidden="1" x14ac:dyDescent="0.3">
      <c r="A55" s="1" t="s">
        <v>121</v>
      </c>
      <c r="B55" s="1" t="s">
        <v>96</v>
      </c>
      <c r="C55" s="1" t="s">
        <v>69</v>
      </c>
      <c r="D55" s="1" t="s">
        <v>28</v>
      </c>
      <c r="E55" s="1" t="s">
        <v>29</v>
      </c>
      <c r="F55">
        <v>35</v>
      </c>
      <c r="G55" t="s">
        <v>59</v>
      </c>
      <c r="H55" s="2">
        <v>40678</v>
      </c>
      <c r="I55">
        <v>66889</v>
      </c>
      <c r="J55">
        <v>0</v>
      </c>
      <c r="K55">
        <v>66889</v>
      </c>
      <c r="L55" s="1" t="s">
        <v>23</v>
      </c>
      <c r="M55" s="1" t="s">
        <v>74</v>
      </c>
      <c r="N55" s="2"/>
      <c r="O55">
        <v>54</v>
      </c>
      <c r="P55">
        <v>0</v>
      </c>
      <c r="Q55" t="s">
        <v>25</v>
      </c>
      <c r="R55">
        <f ca="1">DATEDIF(EMP_RAW_Data[[#This Row],[Hire Date]],IF(EMP_RAW_Data[[#This Row],[Exit Date]]="",TODAY(),EMP_RAW_Data[[#This Row],[Exit Date]]),"Y")</f>
        <v>14</v>
      </c>
      <c r="S55" t="str">
        <f>IF(EMP_RAW_Data[[#This Row],[Status]]=1,"Inactive","Active")</f>
        <v>Active</v>
      </c>
    </row>
    <row r="56" spans="1:19" hidden="1" x14ac:dyDescent="0.3">
      <c r="A56" s="1" t="s">
        <v>122</v>
      </c>
      <c r="B56" s="1" t="s">
        <v>33</v>
      </c>
      <c r="C56" s="1" t="s">
        <v>54</v>
      </c>
      <c r="D56" s="1" t="s">
        <v>20</v>
      </c>
      <c r="E56" s="1" t="s">
        <v>21</v>
      </c>
      <c r="F56">
        <v>36</v>
      </c>
      <c r="G56" t="s">
        <v>59</v>
      </c>
      <c r="H56" s="2">
        <v>42276</v>
      </c>
      <c r="I56">
        <v>178700</v>
      </c>
      <c r="J56">
        <v>0.28999999999999998</v>
      </c>
      <c r="K56">
        <v>230523</v>
      </c>
      <c r="L56" s="1" t="s">
        <v>23</v>
      </c>
      <c r="M56" s="1" t="s">
        <v>24</v>
      </c>
      <c r="N56" s="2"/>
      <c r="O56">
        <v>55</v>
      </c>
      <c r="P56">
        <v>0</v>
      </c>
      <c r="Q56" t="s">
        <v>25</v>
      </c>
      <c r="R56">
        <f ca="1">DATEDIF(EMP_RAW_Data[[#This Row],[Hire Date]],IF(EMP_RAW_Data[[#This Row],[Exit Date]]="",TODAY(),EMP_RAW_Data[[#This Row],[Exit Date]]),"Y")</f>
        <v>10</v>
      </c>
      <c r="S56" t="str">
        <f>IF(EMP_RAW_Data[[#This Row],[Status]]=1,"Inactive","Active")</f>
        <v>Active</v>
      </c>
    </row>
    <row r="57" spans="1:19" hidden="1" x14ac:dyDescent="0.3">
      <c r="A57" s="1" t="s">
        <v>123</v>
      </c>
      <c r="B57" s="1" t="s">
        <v>124</v>
      </c>
      <c r="C57" s="1" t="s">
        <v>62</v>
      </c>
      <c r="D57" s="1" t="s">
        <v>20</v>
      </c>
      <c r="E57" s="1" t="s">
        <v>21</v>
      </c>
      <c r="F57">
        <v>33</v>
      </c>
      <c r="G57" t="s">
        <v>40</v>
      </c>
      <c r="H57" s="2">
        <v>43456</v>
      </c>
      <c r="I57">
        <v>83990</v>
      </c>
      <c r="J57">
        <v>0</v>
      </c>
      <c r="K57">
        <v>83990</v>
      </c>
      <c r="L57" s="1" t="s">
        <v>23</v>
      </c>
      <c r="M57" s="1" t="s">
        <v>37</v>
      </c>
      <c r="N57" s="2"/>
      <c r="O57">
        <v>56</v>
      </c>
      <c r="P57">
        <v>0</v>
      </c>
      <c r="Q57" t="s">
        <v>25</v>
      </c>
      <c r="R57">
        <f ca="1">DATEDIF(EMP_RAW_Data[[#This Row],[Hire Date]],IF(EMP_RAW_Data[[#This Row],[Exit Date]]="",TODAY(),EMP_RAW_Data[[#This Row],[Exit Date]]),"Y")</f>
        <v>7</v>
      </c>
      <c r="S57" t="str">
        <f>IF(EMP_RAW_Data[[#This Row],[Status]]=1,"Inactive","Active")</f>
        <v>Active</v>
      </c>
    </row>
    <row r="58" spans="1:19" hidden="1" x14ac:dyDescent="0.3">
      <c r="A58" s="1" t="s">
        <v>125</v>
      </c>
      <c r="B58" s="1" t="s">
        <v>126</v>
      </c>
      <c r="C58" s="1" t="s">
        <v>62</v>
      </c>
      <c r="D58" s="1" t="s">
        <v>47</v>
      </c>
      <c r="E58" s="1" t="s">
        <v>21</v>
      </c>
      <c r="F58">
        <v>52</v>
      </c>
      <c r="G58" t="s">
        <v>36</v>
      </c>
      <c r="H58" s="2">
        <v>38696</v>
      </c>
      <c r="I58">
        <v>102043</v>
      </c>
      <c r="J58">
        <v>0</v>
      </c>
      <c r="K58">
        <v>102043</v>
      </c>
      <c r="L58" s="1" t="s">
        <v>23</v>
      </c>
      <c r="M58" s="1" t="s">
        <v>37</v>
      </c>
      <c r="N58" s="2"/>
      <c r="O58">
        <v>57</v>
      </c>
      <c r="P58">
        <v>0</v>
      </c>
      <c r="Q58" t="s">
        <v>25</v>
      </c>
      <c r="R58">
        <f ca="1">DATEDIF(EMP_RAW_Data[[#This Row],[Hire Date]],IF(EMP_RAW_Data[[#This Row],[Exit Date]]="",TODAY(),EMP_RAW_Data[[#This Row],[Exit Date]]),"Y")</f>
        <v>20</v>
      </c>
      <c r="S58" t="str">
        <f>IF(EMP_RAW_Data[[#This Row],[Status]]=1,"Inactive","Active")</f>
        <v>Active</v>
      </c>
    </row>
    <row r="59" spans="1:19" hidden="1" x14ac:dyDescent="0.3">
      <c r="A59" s="1" t="s">
        <v>127</v>
      </c>
      <c r="B59" s="1" t="s">
        <v>128</v>
      </c>
      <c r="C59" s="1" t="s">
        <v>62</v>
      </c>
      <c r="D59" s="1" t="s">
        <v>28</v>
      </c>
      <c r="E59" s="1" t="s">
        <v>21</v>
      </c>
      <c r="F59">
        <v>46</v>
      </c>
      <c r="G59" t="s">
        <v>36</v>
      </c>
      <c r="H59" s="2">
        <v>37041</v>
      </c>
      <c r="I59">
        <v>90678</v>
      </c>
      <c r="J59">
        <v>0</v>
      </c>
      <c r="K59">
        <v>90678</v>
      </c>
      <c r="L59" s="1" t="s">
        <v>23</v>
      </c>
      <c r="M59" s="1" t="s">
        <v>74</v>
      </c>
      <c r="N59" s="2"/>
      <c r="O59">
        <v>58</v>
      </c>
      <c r="P59">
        <v>0</v>
      </c>
      <c r="Q59" t="s">
        <v>25</v>
      </c>
      <c r="R59">
        <f ca="1">DATEDIF(EMP_RAW_Data[[#This Row],[Hire Date]],IF(EMP_RAW_Data[[#This Row],[Exit Date]]="",TODAY(),EMP_RAW_Data[[#This Row],[Exit Date]]),"Y")</f>
        <v>24</v>
      </c>
      <c r="S59" t="str">
        <f>IF(EMP_RAW_Data[[#This Row],[Status]]=1,"Inactive","Active")</f>
        <v>Active</v>
      </c>
    </row>
    <row r="60" spans="1:19" hidden="1" x14ac:dyDescent="0.3">
      <c r="A60" s="1" t="s">
        <v>129</v>
      </c>
      <c r="B60" s="1" t="s">
        <v>130</v>
      </c>
      <c r="C60" s="1" t="s">
        <v>58</v>
      </c>
      <c r="D60" s="1" t="s">
        <v>28</v>
      </c>
      <c r="E60" s="1" t="s">
        <v>21</v>
      </c>
      <c r="F60">
        <v>46</v>
      </c>
      <c r="G60" t="s">
        <v>36</v>
      </c>
      <c r="H60" s="2">
        <v>39681</v>
      </c>
      <c r="I60">
        <v>59067</v>
      </c>
      <c r="J60">
        <v>0</v>
      </c>
      <c r="K60">
        <v>59067</v>
      </c>
      <c r="L60" s="1" t="s">
        <v>23</v>
      </c>
      <c r="M60" s="1" t="s">
        <v>52</v>
      </c>
      <c r="N60" s="2"/>
      <c r="O60">
        <v>59</v>
      </c>
      <c r="P60">
        <v>0</v>
      </c>
      <c r="Q60" t="s">
        <v>25</v>
      </c>
      <c r="R60">
        <f ca="1">DATEDIF(EMP_RAW_Data[[#This Row],[Hire Date]],IF(EMP_RAW_Data[[#This Row],[Exit Date]]="",TODAY(),EMP_RAW_Data[[#This Row],[Exit Date]]),"Y")</f>
        <v>17</v>
      </c>
      <c r="S60" t="str">
        <f>IF(EMP_RAW_Data[[#This Row],[Status]]=1,"Inactive","Active")</f>
        <v>Active</v>
      </c>
    </row>
    <row r="61" spans="1:19" hidden="1" x14ac:dyDescent="0.3">
      <c r="A61" s="1" t="s">
        <v>131</v>
      </c>
      <c r="B61" s="1" t="s">
        <v>18</v>
      </c>
      <c r="C61" s="1" t="s">
        <v>69</v>
      </c>
      <c r="D61" s="1" t="s">
        <v>20</v>
      </c>
      <c r="E61" s="1" t="s">
        <v>29</v>
      </c>
      <c r="F61">
        <v>45</v>
      </c>
      <c r="G61" t="s">
        <v>36</v>
      </c>
      <c r="H61" s="2">
        <v>44266</v>
      </c>
      <c r="I61">
        <v>135062</v>
      </c>
      <c r="J61">
        <v>0.15</v>
      </c>
      <c r="K61">
        <v>155321.29999999999</v>
      </c>
      <c r="L61" s="1" t="s">
        <v>30</v>
      </c>
      <c r="M61" s="1" t="s">
        <v>102</v>
      </c>
      <c r="N61" s="2"/>
      <c r="O61">
        <v>60</v>
      </c>
      <c r="P61">
        <v>0</v>
      </c>
      <c r="Q61" t="s">
        <v>25</v>
      </c>
      <c r="R61">
        <f ca="1">DATEDIF(EMP_RAW_Data[[#This Row],[Hire Date]],IF(EMP_RAW_Data[[#This Row],[Exit Date]]="",TODAY(),EMP_RAW_Data[[#This Row],[Exit Date]]),"Y")</f>
        <v>5</v>
      </c>
      <c r="S61" t="str">
        <f>IF(EMP_RAW_Data[[#This Row],[Status]]=1,"Inactive","Active")</f>
        <v>Active</v>
      </c>
    </row>
    <row r="62" spans="1:19" hidden="1" x14ac:dyDescent="0.3">
      <c r="A62" s="1" t="s">
        <v>132</v>
      </c>
      <c r="B62" s="1" t="s">
        <v>18</v>
      </c>
      <c r="C62" s="1" t="s">
        <v>19</v>
      </c>
      <c r="D62" s="1" t="s">
        <v>47</v>
      </c>
      <c r="E62" s="1" t="s">
        <v>21</v>
      </c>
      <c r="F62">
        <v>55</v>
      </c>
      <c r="G62" t="s">
        <v>22</v>
      </c>
      <c r="H62" s="2">
        <v>38945</v>
      </c>
      <c r="I62">
        <v>159044</v>
      </c>
      <c r="J62">
        <v>0.1</v>
      </c>
      <c r="K62">
        <v>174948.4</v>
      </c>
      <c r="L62" s="1" t="s">
        <v>77</v>
      </c>
      <c r="M62" s="1" t="s">
        <v>78</v>
      </c>
      <c r="N62" s="2"/>
      <c r="O62">
        <v>61</v>
      </c>
      <c r="P62">
        <v>0</v>
      </c>
      <c r="Q62" t="s">
        <v>25</v>
      </c>
      <c r="R62">
        <f ca="1">DATEDIF(EMP_RAW_Data[[#This Row],[Hire Date]],IF(EMP_RAW_Data[[#This Row],[Exit Date]]="",TODAY(),EMP_RAW_Data[[#This Row],[Exit Date]]),"Y")</f>
        <v>19</v>
      </c>
      <c r="S62" t="str">
        <f>IF(EMP_RAW_Data[[#This Row],[Status]]=1,"Inactive","Active")</f>
        <v>Active</v>
      </c>
    </row>
    <row r="63" spans="1:19" x14ac:dyDescent="0.3">
      <c r="A63" s="1" t="s">
        <v>133</v>
      </c>
      <c r="B63" s="1" t="s">
        <v>42</v>
      </c>
      <c r="C63" s="1" t="s">
        <v>54</v>
      </c>
      <c r="D63" s="1" t="s">
        <v>28</v>
      </c>
      <c r="E63" s="1" t="s">
        <v>21</v>
      </c>
      <c r="F63">
        <v>44</v>
      </c>
      <c r="G63" t="s">
        <v>59</v>
      </c>
      <c r="H63" s="2">
        <v>43467</v>
      </c>
      <c r="I63">
        <v>74691</v>
      </c>
      <c r="J63">
        <v>0</v>
      </c>
      <c r="K63">
        <v>74691</v>
      </c>
      <c r="L63" s="1" t="s">
        <v>77</v>
      </c>
      <c r="M63" s="1" t="s">
        <v>78</v>
      </c>
      <c r="N63" s="2">
        <v>44020</v>
      </c>
      <c r="O63">
        <v>62</v>
      </c>
      <c r="P63">
        <v>1</v>
      </c>
      <c r="Q63" t="s">
        <v>25</v>
      </c>
      <c r="R63">
        <f ca="1">DATEDIF(EMP_RAW_Data[[#This Row],[Hire Date]],IF(EMP_RAW_Data[[#This Row],[Exit Date]]="",TODAY(),EMP_RAW_Data[[#This Row],[Exit Date]]),"Y")</f>
        <v>1</v>
      </c>
      <c r="S63" t="str">
        <f>IF(EMP_RAW_Data[[#This Row],[Status]]=1,"Inactive","Active")</f>
        <v>Inactive</v>
      </c>
    </row>
    <row r="64" spans="1:19" x14ac:dyDescent="0.3">
      <c r="A64" s="1" t="s">
        <v>134</v>
      </c>
      <c r="B64" s="1" t="s">
        <v>89</v>
      </c>
      <c r="C64" s="1" t="s">
        <v>62</v>
      </c>
      <c r="D64" s="1" t="s">
        <v>47</v>
      </c>
      <c r="E64" s="1" t="s">
        <v>21</v>
      </c>
      <c r="F64">
        <v>44</v>
      </c>
      <c r="G64" t="s">
        <v>59</v>
      </c>
      <c r="H64" s="2">
        <v>39800</v>
      </c>
      <c r="I64">
        <v>92753</v>
      </c>
      <c r="J64">
        <v>0.13</v>
      </c>
      <c r="K64">
        <v>104810.89</v>
      </c>
      <c r="L64" s="1" t="s">
        <v>23</v>
      </c>
      <c r="M64" s="1" t="s">
        <v>55</v>
      </c>
      <c r="N64" s="2">
        <v>44371</v>
      </c>
      <c r="O64">
        <v>63</v>
      </c>
      <c r="P64">
        <v>1</v>
      </c>
      <c r="Q64" t="s">
        <v>25</v>
      </c>
      <c r="R64">
        <f ca="1">DATEDIF(EMP_RAW_Data[[#This Row],[Hire Date]],IF(EMP_RAW_Data[[#This Row],[Exit Date]]="",TODAY(),EMP_RAW_Data[[#This Row],[Exit Date]]),"Y")</f>
        <v>12</v>
      </c>
      <c r="S64" t="str">
        <f>IF(EMP_RAW_Data[[#This Row],[Status]]=1,"Inactive","Active")</f>
        <v>Inactive</v>
      </c>
    </row>
    <row r="65" spans="1:19" hidden="1" x14ac:dyDescent="0.3">
      <c r="A65" s="1" t="s">
        <v>135</v>
      </c>
      <c r="B65" s="1" t="s">
        <v>68</v>
      </c>
      <c r="C65" s="1" t="s">
        <v>58</v>
      </c>
      <c r="D65" s="1" t="s">
        <v>35</v>
      </c>
      <c r="E65" s="1" t="s">
        <v>29</v>
      </c>
      <c r="F65">
        <v>45</v>
      </c>
      <c r="G65" t="s">
        <v>36</v>
      </c>
      <c r="H65" s="2">
        <v>41493</v>
      </c>
      <c r="I65">
        <v>236946</v>
      </c>
      <c r="J65">
        <v>0.37</v>
      </c>
      <c r="K65">
        <v>324616.02</v>
      </c>
      <c r="L65" s="1" t="s">
        <v>23</v>
      </c>
      <c r="M65" s="1" t="s">
        <v>24</v>
      </c>
      <c r="N65" s="2"/>
      <c r="O65">
        <v>64</v>
      </c>
      <c r="P65">
        <v>0</v>
      </c>
      <c r="Q65" t="s">
        <v>25</v>
      </c>
      <c r="R65">
        <f ca="1">DATEDIF(EMP_RAW_Data[[#This Row],[Hire Date]],IF(EMP_RAW_Data[[#This Row],[Exit Date]]="",TODAY(),EMP_RAW_Data[[#This Row],[Exit Date]]),"Y")</f>
        <v>12</v>
      </c>
      <c r="S65" t="str">
        <f>IF(EMP_RAW_Data[[#This Row],[Status]]=1,"Inactive","Active")</f>
        <v>Active</v>
      </c>
    </row>
    <row r="66" spans="1:19" hidden="1" x14ac:dyDescent="0.3">
      <c r="A66" s="1" t="s">
        <v>136</v>
      </c>
      <c r="B66" s="1" t="s">
        <v>51</v>
      </c>
      <c r="C66" s="1" t="s">
        <v>34</v>
      </c>
      <c r="D66" s="1" t="s">
        <v>47</v>
      </c>
      <c r="E66" s="1" t="s">
        <v>21</v>
      </c>
      <c r="F66">
        <v>36</v>
      </c>
      <c r="G66" t="s">
        <v>59</v>
      </c>
      <c r="H66" s="2">
        <v>44435</v>
      </c>
      <c r="I66">
        <v>48906</v>
      </c>
      <c r="J66">
        <v>0</v>
      </c>
      <c r="K66">
        <v>48906</v>
      </c>
      <c r="L66" s="1" t="s">
        <v>23</v>
      </c>
      <c r="M66" s="1" t="s">
        <v>52</v>
      </c>
      <c r="N66" s="2"/>
      <c r="O66">
        <v>65</v>
      </c>
      <c r="P66">
        <v>0</v>
      </c>
      <c r="Q66" t="s">
        <v>25</v>
      </c>
      <c r="R66">
        <f ca="1">DATEDIF(EMP_RAW_Data[[#This Row],[Hire Date]],IF(EMP_RAW_Data[[#This Row],[Exit Date]]="",TODAY(),EMP_RAW_Data[[#This Row],[Exit Date]]),"Y")</f>
        <v>4</v>
      </c>
      <c r="S66" t="str">
        <f>IF(EMP_RAW_Data[[#This Row],[Status]]=1,"Inactive","Active")</f>
        <v>Active</v>
      </c>
    </row>
    <row r="67" spans="1:19" hidden="1" x14ac:dyDescent="0.3">
      <c r="A67" s="1" t="s">
        <v>137</v>
      </c>
      <c r="B67" s="1" t="s">
        <v>42</v>
      </c>
      <c r="C67" s="1" t="s">
        <v>46</v>
      </c>
      <c r="D67" s="1" t="s">
        <v>47</v>
      </c>
      <c r="E67" s="1" t="s">
        <v>21</v>
      </c>
      <c r="F67">
        <v>38</v>
      </c>
      <c r="G67" t="s">
        <v>59</v>
      </c>
      <c r="H67" s="2">
        <v>39474</v>
      </c>
      <c r="I67">
        <v>80024</v>
      </c>
      <c r="J67">
        <v>0</v>
      </c>
      <c r="K67">
        <v>80024</v>
      </c>
      <c r="L67" s="1" t="s">
        <v>23</v>
      </c>
      <c r="M67" s="1" t="s">
        <v>74</v>
      </c>
      <c r="N67" s="2"/>
      <c r="O67">
        <v>66</v>
      </c>
      <c r="P67">
        <v>0</v>
      </c>
      <c r="Q67" t="s">
        <v>25</v>
      </c>
      <c r="R67">
        <f ca="1">DATEDIF(EMP_RAW_Data[[#This Row],[Hire Date]],IF(EMP_RAW_Data[[#This Row],[Exit Date]]="",TODAY(),EMP_RAW_Data[[#This Row],[Exit Date]]),"Y")</f>
        <v>18</v>
      </c>
      <c r="S67" t="str">
        <f>IF(EMP_RAW_Data[[#This Row],[Status]]=1,"Inactive","Active")</f>
        <v>Active</v>
      </c>
    </row>
    <row r="68" spans="1:19" x14ac:dyDescent="0.3">
      <c r="A68" s="1" t="s">
        <v>138</v>
      </c>
      <c r="B68" s="1" t="s">
        <v>118</v>
      </c>
      <c r="C68" s="1" t="s">
        <v>58</v>
      </c>
      <c r="D68" s="1" t="s">
        <v>35</v>
      </c>
      <c r="E68" s="1" t="s">
        <v>21</v>
      </c>
      <c r="F68">
        <v>41</v>
      </c>
      <c r="G68" t="s">
        <v>59</v>
      </c>
      <c r="H68" s="2">
        <v>40109</v>
      </c>
      <c r="I68">
        <v>54415</v>
      </c>
      <c r="J68">
        <v>0</v>
      </c>
      <c r="K68">
        <v>54415</v>
      </c>
      <c r="L68" s="1" t="s">
        <v>23</v>
      </c>
      <c r="M68" s="1" t="s">
        <v>24</v>
      </c>
      <c r="N68" s="2">
        <v>41661</v>
      </c>
      <c r="O68">
        <v>67</v>
      </c>
      <c r="P68">
        <v>1</v>
      </c>
      <c r="Q68" t="s">
        <v>25</v>
      </c>
      <c r="R68">
        <f ca="1">DATEDIF(EMP_RAW_Data[[#This Row],[Hire Date]],IF(EMP_RAW_Data[[#This Row],[Exit Date]]="",TODAY(),EMP_RAW_Data[[#This Row],[Exit Date]]),"Y")</f>
        <v>4</v>
      </c>
      <c r="S68" t="str">
        <f>IF(EMP_RAW_Data[[#This Row],[Status]]=1,"Inactive","Active")</f>
        <v>Inactive</v>
      </c>
    </row>
    <row r="69" spans="1:19" hidden="1" x14ac:dyDescent="0.3">
      <c r="A69" s="1" t="s">
        <v>139</v>
      </c>
      <c r="B69" s="1" t="s">
        <v>49</v>
      </c>
      <c r="C69" s="1" t="s">
        <v>69</v>
      </c>
      <c r="D69" s="1" t="s">
        <v>20</v>
      </c>
      <c r="E69" s="1" t="s">
        <v>21</v>
      </c>
      <c r="F69">
        <v>30</v>
      </c>
      <c r="G69" t="s">
        <v>40</v>
      </c>
      <c r="H69" s="2">
        <v>42484</v>
      </c>
      <c r="I69">
        <v>120341</v>
      </c>
      <c r="J69">
        <v>7.0000000000000007E-2</v>
      </c>
      <c r="K69">
        <v>128764.87</v>
      </c>
      <c r="L69" s="1" t="s">
        <v>23</v>
      </c>
      <c r="M69" s="1" t="s">
        <v>24</v>
      </c>
      <c r="N69" s="2"/>
      <c r="O69">
        <v>68</v>
      </c>
      <c r="P69">
        <v>0</v>
      </c>
      <c r="Q69" t="s">
        <v>25</v>
      </c>
      <c r="R69">
        <f ca="1">DATEDIF(EMP_RAW_Data[[#This Row],[Hire Date]],IF(EMP_RAW_Data[[#This Row],[Exit Date]]="",TODAY(),EMP_RAW_Data[[#This Row],[Exit Date]]),"Y")</f>
        <v>9</v>
      </c>
      <c r="S69" t="str">
        <f>IF(EMP_RAW_Data[[#This Row],[Status]]=1,"Inactive","Active")</f>
        <v>Active</v>
      </c>
    </row>
    <row r="70" spans="1:19" hidden="1" x14ac:dyDescent="0.3">
      <c r="A70" s="1" t="s">
        <v>140</v>
      </c>
      <c r="B70" s="1" t="s">
        <v>68</v>
      </c>
      <c r="C70" s="1" t="s">
        <v>19</v>
      </c>
      <c r="D70" s="1" t="s">
        <v>35</v>
      </c>
      <c r="E70" s="1" t="s">
        <v>21</v>
      </c>
      <c r="F70">
        <v>43</v>
      </c>
      <c r="G70" t="s">
        <v>59</v>
      </c>
      <c r="H70" s="2">
        <v>40029</v>
      </c>
      <c r="I70">
        <v>208415</v>
      </c>
      <c r="J70">
        <v>0.35</v>
      </c>
      <c r="K70">
        <v>281360.25</v>
      </c>
      <c r="L70" s="1" t="s">
        <v>23</v>
      </c>
      <c r="M70" s="1" t="s">
        <v>24</v>
      </c>
      <c r="N70" s="2"/>
      <c r="O70">
        <v>69</v>
      </c>
      <c r="P70">
        <v>0</v>
      </c>
      <c r="Q70" t="s">
        <v>25</v>
      </c>
      <c r="R70">
        <f ca="1">DATEDIF(EMP_RAW_Data[[#This Row],[Hire Date]],IF(EMP_RAW_Data[[#This Row],[Exit Date]]="",TODAY(),EMP_RAW_Data[[#This Row],[Exit Date]]),"Y")</f>
        <v>16</v>
      </c>
      <c r="S70" t="str">
        <f>IF(EMP_RAW_Data[[#This Row],[Status]]=1,"Inactive","Active")</f>
        <v>Active</v>
      </c>
    </row>
    <row r="71" spans="1:19" hidden="1" x14ac:dyDescent="0.3">
      <c r="A71" s="1" t="s">
        <v>141</v>
      </c>
      <c r="B71" s="1" t="s">
        <v>142</v>
      </c>
      <c r="C71" s="1" t="s">
        <v>19</v>
      </c>
      <c r="D71" s="1" t="s">
        <v>35</v>
      </c>
      <c r="E71" s="1" t="s">
        <v>21</v>
      </c>
      <c r="F71">
        <v>32</v>
      </c>
      <c r="G71" t="s">
        <v>40</v>
      </c>
      <c r="H71" s="2">
        <v>43835</v>
      </c>
      <c r="I71">
        <v>78844</v>
      </c>
      <c r="J71">
        <v>0</v>
      </c>
      <c r="K71">
        <v>78844</v>
      </c>
      <c r="L71" s="1" t="s">
        <v>23</v>
      </c>
      <c r="M71" s="1" t="s">
        <v>24</v>
      </c>
      <c r="N71" s="2"/>
      <c r="O71">
        <v>70</v>
      </c>
      <c r="P71">
        <v>0</v>
      </c>
      <c r="Q71" t="s">
        <v>25</v>
      </c>
      <c r="R71">
        <f ca="1">DATEDIF(EMP_RAW_Data[[#This Row],[Hire Date]],IF(EMP_RAW_Data[[#This Row],[Exit Date]]="",TODAY(),EMP_RAW_Data[[#This Row],[Exit Date]]),"Y")</f>
        <v>6</v>
      </c>
      <c r="S71" t="str">
        <f>IF(EMP_RAW_Data[[#This Row],[Status]]=1,"Inactive","Active")</f>
        <v>Active</v>
      </c>
    </row>
    <row r="72" spans="1:19" x14ac:dyDescent="0.3">
      <c r="A72" s="1" t="s">
        <v>143</v>
      </c>
      <c r="B72" s="1" t="s">
        <v>124</v>
      </c>
      <c r="C72" s="1" t="s">
        <v>62</v>
      </c>
      <c r="D72" s="1" t="s">
        <v>28</v>
      </c>
      <c r="E72" s="1" t="s">
        <v>29</v>
      </c>
      <c r="F72">
        <v>58</v>
      </c>
      <c r="G72" t="s">
        <v>22</v>
      </c>
      <c r="H72" s="2">
        <v>37399</v>
      </c>
      <c r="I72">
        <v>76354</v>
      </c>
      <c r="J72">
        <v>0</v>
      </c>
      <c r="K72">
        <v>76354</v>
      </c>
      <c r="L72" s="1" t="s">
        <v>23</v>
      </c>
      <c r="M72" s="1" t="s">
        <v>43</v>
      </c>
      <c r="N72" s="2">
        <v>44465</v>
      </c>
      <c r="O72">
        <v>71</v>
      </c>
      <c r="P72">
        <v>1</v>
      </c>
      <c r="Q72" t="s">
        <v>25</v>
      </c>
      <c r="R72">
        <f ca="1">DATEDIF(EMP_RAW_Data[[#This Row],[Hire Date]],IF(EMP_RAW_Data[[#This Row],[Exit Date]]="",TODAY(),EMP_RAW_Data[[#This Row],[Exit Date]]),"Y")</f>
        <v>19</v>
      </c>
      <c r="S72" t="str">
        <f>IF(EMP_RAW_Data[[#This Row],[Status]]=1,"Inactive","Active")</f>
        <v>Inactive</v>
      </c>
    </row>
    <row r="73" spans="1:19" hidden="1" x14ac:dyDescent="0.3">
      <c r="A73" s="1" t="s">
        <v>144</v>
      </c>
      <c r="B73" s="1" t="s">
        <v>33</v>
      </c>
      <c r="C73" s="1" t="s">
        <v>34</v>
      </c>
      <c r="D73" s="1" t="s">
        <v>35</v>
      </c>
      <c r="E73" s="1" t="s">
        <v>21</v>
      </c>
      <c r="F73">
        <v>37</v>
      </c>
      <c r="G73" t="s">
        <v>59</v>
      </c>
      <c r="H73" s="2">
        <v>43493</v>
      </c>
      <c r="I73">
        <v>165927</v>
      </c>
      <c r="J73">
        <v>0.2</v>
      </c>
      <c r="K73">
        <v>199112.4</v>
      </c>
      <c r="L73" s="1" t="s">
        <v>23</v>
      </c>
      <c r="M73" s="1" t="s">
        <v>43</v>
      </c>
      <c r="N73" s="2"/>
      <c r="O73">
        <v>72</v>
      </c>
      <c r="P73">
        <v>0</v>
      </c>
      <c r="Q73" t="s">
        <v>25</v>
      </c>
      <c r="R73">
        <f ca="1">DATEDIF(EMP_RAW_Data[[#This Row],[Hire Date]],IF(EMP_RAW_Data[[#This Row],[Exit Date]]="",TODAY(),EMP_RAW_Data[[#This Row],[Exit Date]]),"Y")</f>
        <v>7</v>
      </c>
      <c r="S73" t="str">
        <f>IF(EMP_RAW_Data[[#This Row],[Status]]=1,"Inactive","Active")</f>
        <v>Active</v>
      </c>
    </row>
    <row r="74" spans="1:19" hidden="1" x14ac:dyDescent="0.3">
      <c r="A74" s="1" t="s">
        <v>145</v>
      </c>
      <c r="B74" s="1" t="s">
        <v>49</v>
      </c>
      <c r="C74" s="1" t="s">
        <v>54</v>
      </c>
      <c r="D74" s="1" t="s">
        <v>35</v>
      </c>
      <c r="E74" s="1" t="s">
        <v>21</v>
      </c>
      <c r="F74">
        <v>38</v>
      </c>
      <c r="G74" t="s">
        <v>59</v>
      </c>
      <c r="H74" s="2">
        <v>44516</v>
      </c>
      <c r="I74">
        <v>109812</v>
      </c>
      <c r="J74">
        <v>0.09</v>
      </c>
      <c r="K74">
        <v>119695.08</v>
      </c>
      <c r="L74" s="1" t="s">
        <v>77</v>
      </c>
      <c r="M74" s="1" t="s">
        <v>78</v>
      </c>
      <c r="N74" s="2"/>
      <c r="O74">
        <v>73</v>
      </c>
      <c r="P74">
        <v>0</v>
      </c>
      <c r="Q74" t="s">
        <v>25</v>
      </c>
      <c r="R74">
        <f ca="1">DATEDIF(EMP_RAW_Data[[#This Row],[Hire Date]],IF(EMP_RAW_Data[[#This Row],[Exit Date]]="",TODAY(),EMP_RAW_Data[[#This Row],[Exit Date]]),"Y")</f>
        <v>4</v>
      </c>
      <c r="S74" t="str">
        <f>IF(EMP_RAW_Data[[#This Row],[Status]]=1,"Inactive","Active")</f>
        <v>Active</v>
      </c>
    </row>
    <row r="75" spans="1:19" hidden="1" x14ac:dyDescent="0.3">
      <c r="A75" s="1" t="s">
        <v>146</v>
      </c>
      <c r="B75" s="1" t="s">
        <v>61</v>
      </c>
      <c r="C75" s="1" t="s">
        <v>62</v>
      </c>
      <c r="D75" s="1" t="s">
        <v>47</v>
      </c>
      <c r="E75" s="1" t="s">
        <v>29</v>
      </c>
      <c r="F75">
        <v>55</v>
      </c>
      <c r="G75" t="s">
        <v>22</v>
      </c>
      <c r="H75" s="2">
        <v>36041</v>
      </c>
      <c r="I75">
        <v>86299</v>
      </c>
      <c r="J75">
        <v>0</v>
      </c>
      <c r="K75">
        <v>86299</v>
      </c>
      <c r="L75" s="1" t="s">
        <v>23</v>
      </c>
      <c r="M75" s="1" t="s">
        <v>24</v>
      </c>
      <c r="N75" s="2"/>
      <c r="O75">
        <v>74</v>
      </c>
      <c r="P75">
        <v>0</v>
      </c>
      <c r="Q75" t="s">
        <v>25</v>
      </c>
      <c r="R75">
        <f ca="1">DATEDIF(EMP_RAW_Data[[#This Row],[Hire Date]],IF(EMP_RAW_Data[[#This Row],[Exit Date]]="",TODAY(),EMP_RAW_Data[[#This Row],[Exit Date]]),"Y")</f>
        <v>27</v>
      </c>
      <c r="S75" t="str">
        <f>IF(EMP_RAW_Data[[#This Row],[Status]]=1,"Inactive","Active")</f>
        <v>Active</v>
      </c>
    </row>
    <row r="76" spans="1:19" hidden="1" x14ac:dyDescent="0.3">
      <c r="A76" s="1" t="s">
        <v>147</v>
      </c>
      <c r="B76" s="1" t="s">
        <v>68</v>
      </c>
      <c r="C76" s="1" t="s">
        <v>69</v>
      </c>
      <c r="D76" s="1" t="s">
        <v>20</v>
      </c>
      <c r="E76" s="1" t="s">
        <v>29</v>
      </c>
      <c r="F76">
        <v>57</v>
      </c>
      <c r="G76" t="s">
        <v>22</v>
      </c>
      <c r="H76" s="2">
        <v>37828</v>
      </c>
      <c r="I76">
        <v>206624</v>
      </c>
      <c r="J76">
        <v>0.4</v>
      </c>
      <c r="K76">
        <v>289273.59999999998</v>
      </c>
      <c r="L76" s="1" t="s">
        <v>77</v>
      </c>
      <c r="M76" s="1" t="s">
        <v>148</v>
      </c>
      <c r="N76" s="2"/>
      <c r="O76">
        <v>75</v>
      </c>
      <c r="P76">
        <v>0</v>
      </c>
      <c r="Q76" t="s">
        <v>25</v>
      </c>
      <c r="R76">
        <f ca="1">DATEDIF(EMP_RAW_Data[[#This Row],[Hire Date]],IF(EMP_RAW_Data[[#This Row],[Exit Date]]="",TODAY(),EMP_RAW_Data[[#This Row],[Exit Date]]),"Y")</f>
        <v>22</v>
      </c>
      <c r="S76" t="str">
        <f>IF(EMP_RAW_Data[[#This Row],[Status]]=1,"Inactive","Active")</f>
        <v>Active</v>
      </c>
    </row>
    <row r="77" spans="1:19" x14ac:dyDescent="0.3">
      <c r="A77" s="1" t="s">
        <v>149</v>
      </c>
      <c r="B77" s="1" t="s">
        <v>93</v>
      </c>
      <c r="C77" s="1" t="s">
        <v>19</v>
      </c>
      <c r="D77" s="1" t="s">
        <v>28</v>
      </c>
      <c r="E77" s="1" t="s">
        <v>29</v>
      </c>
      <c r="F77">
        <v>36</v>
      </c>
      <c r="G77" t="s">
        <v>59</v>
      </c>
      <c r="H77" s="2">
        <v>40535</v>
      </c>
      <c r="I77">
        <v>53215</v>
      </c>
      <c r="J77">
        <v>0</v>
      </c>
      <c r="K77">
        <v>53215</v>
      </c>
      <c r="L77" s="1" t="s">
        <v>77</v>
      </c>
      <c r="M77" s="1" t="s">
        <v>148</v>
      </c>
      <c r="N77" s="2">
        <v>41725</v>
      </c>
      <c r="O77">
        <v>76</v>
      </c>
      <c r="P77">
        <v>1</v>
      </c>
      <c r="Q77" t="s">
        <v>25</v>
      </c>
      <c r="R77">
        <f ca="1">DATEDIF(EMP_RAW_Data[[#This Row],[Hire Date]],IF(EMP_RAW_Data[[#This Row],[Exit Date]]="",TODAY(),EMP_RAW_Data[[#This Row],[Exit Date]]),"Y")</f>
        <v>3</v>
      </c>
      <c r="S77" t="str">
        <f>IF(EMP_RAW_Data[[#This Row],[Status]]=1,"Inactive","Active")</f>
        <v>Inactive</v>
      </c>
    </row>
    <row r="78" spans="1:19" x14ac:dyDescent="0.3">
      <c r="A78" s="1" t="s">
        <v>150</v>
      </c>
      <c r="B78" s="1" t="s">
        <v>151</v>
      </c>
      <c r="C78" s="1" t="s">
        <v>62</v>
      </c>
      <c r="D78" s="1" t="s">
        <v>20</v>
      </c>
      <c r="E78" s="1" t="s">
        <v>21</v>
      </c>
      <c r="F78">
        <v>30</v>
      </c>
      <c r="G78" t="s">
        <v>40</v>
      </c>
      <c r="H78" s="2">
        <v>42877</v>
      </c>
      <c r="I78">
        <v>86858</v>
      </c>
      <c r="J78">
        <v>0</v>
      </c>
      <c r="K78">
        <v>86858</v>
      </c>
      <c r="L78" s="1" t="s">
        <v>30</v>
      </c>
      <c r="M78" s="1" t="s">
        <v>31</v>
      </c>
      <c r="N78" s="2">
        <v>43016</v>
      </c>
      <c r="O78">
        <v>77</v>
      </c>
      <c r="P78">
        <v>1</v>
      </c>
      <c r="Q78" t="s">
        <v>25</v>
      </c>
      <c r="R78">
        <f ca="1">DATEDIF(EMP_RAW_Data[[#This Row],[Hire Date]],IF(EMP_RAW_Data[[#This Row],[Exit Date]]="",TODAY(),EMP_RAW_Data[[#This Row],[Exit Date]]),"Y")</f>
        <v>0</v>
      </c>
      <c r="S78" t="str">
        <f>IF(EMP_RAW_Data[[#This Row],[Status]]=1,"Inactive","Active")</f>
        <v>Inactive</v>
      </c>
    </row>
    <row r="79" spans="1:19" hidden="1" x14ac:dyDescent="0.3">
      <c r="A79" s="1" t="s">
        <v>152</v>
      </c>
      <c r="B79" s="1" t="s">
        <v>39</v>
      </c>
      <c r="C79" s="1" t="s">
        <v>19</v>
      </c>
      <c r="D79" s="1" t="s">
        <v>28</v>
      </c>
      <c r="E79" s="1" t="s">
        <v>29</v>
      </c>
      <c r="F79">
        <v>40</v>
      </c>
      <c r="G79" t="s">
        <v>59</v>
      </c>
      <c r="H79" s="2">
        <v>39265</v>
      </c>
      <c r="I79">
        <v>93971</v>
      </c>
      <c r="J79">
        <v>0.08</v>
      </c>
      <c r="K79">
        <v>101488.68</v>
      </c>
      <c r="L79" s="1" t="s">
        <v>30</v>
      </c>
      <c r="M79" s="1" t="s">
        <v>31</v>
      </c>
      <c r="N79" s="2"/>
      <c r="O79">
        <v>78</v>
      </c>
      <c r="P79">
        <v>0</v>
      </c>
      <c r="Q79" t="s">
        <v>25</v>
      </c>
      <c r="R79">
        <f ca="1">DATEDIF(EMP_RAW_Data[[#This Row],[Hire Date]],IF(EMP_RAW_Data[[#This Row],[Exit Date]]="",TODAY(),EMP_RAW_Data[[#This Row],[Exit Date]]),"Y")</f>
        <v>18</v>
      </c>
      <c r="S79" t="str">
        <f>IF(EMP_RAW_Data[[#This Row],[Status]]=1,"Inactive","Active")</f>
        <v>Active</v>
      </c>
    </row>
    <row r="80" spans="1:19" hidden="1" x14ac:dyDescent="0.3">
      <c r="A80" s="1" t="s">
        <v>153</v>
      </c>
      <c r="B80" s="1" t="s">
        <v>96</v>
      </c>
      <c r="C80" s="1" t="s">
        <v>34</v>
      </c>
      <c r="D80" s="1" t="s">
        <v>47</v>
      </c>
      <c r="E80" s="1" t="s">
        <v>29</v>
      </c>
      <c r="F80">
        <v>34</v>
      </c>
      <c r="G80" t="s">
        <v>40</v>
      </c>
      <c r="H80" s="2">
        <v>42182</v>
      </c>
      <c r="I80">
        <v>57008</v>
      </c>
      <c r="J80">
        <v>0</v>
      </c>
      <c r="K80">
        <v>57008</v>
      </c>
      <c r="L80" s="1" t="s">
        <v>23</v>
      </c>
      <c r="M80" s="1" t="s">
        <v>43</v>
      </c>
      <c r="N80" s="2"/>
      <c r="O80">
        <v>79</v>
      </c>
      <c r="P80">
        <v>0</v>
      </c>
      <c r="Q80" t="s">
        <v>25</v>
      </c>
      <c r="R80">
        <f ca="1">DATEDIF(EMP_RAW_Data[[#This Row],[Hire Date]],IF(EMP_RAW_Data[[#This Row],[Exit Date]]="",TODAY(),EMP_RAW_Data[[#This Row],[Exit Date]]),"Y")</f>
        <v>10</v>
      </c>
      <c r="S80" t="str">
        <f>IF(EMP_RAW_Data[[#This Row],[Status]]=1,"Inactive","Active")</f>
        <v>Active</v>
      </c>
    </row>
    <row r="81" spans="1:19" hidden="1" x14ac:dyDescent="0.3">
      <c r="A81" s="1" t="s">
        <v>154</v>
      </c>
      <c r="B81" s="1" t="s">
        <v>18</v>
      </c>
      <c r="C81" s="1" t="s">
        <v>34</v>
      </c>
      <c r="D81" s="1" t="s">
        <v>28</v>
      </c>
      <c r="E81" s="1" t="s">
        <v>29</v>
      </c>
      <c r="F81">
        <v>60</v>
      </c>
      <c r="G81" t="s">
        <v>22</v>
      </c>
      <c r="H81" s="2">
        <v>42270</v>
      </c>
      <c r="I81">
        <v>141899</v>
      </c>
      <c r="J81">
        <v>0.15</v>
      </c>
      <c r="K81">
        <v>163183.85</v>
      </c>
      <c r="L81" s="1" t="s">
        <v>23</v>
      </c>
      <c r="M81" s="1" t="s">
        <v>43</v>
      </c>
      <c r="N81" s="2"/>
      <c r="O81">
        <v>80</v>
      </c>
      <c r="P81">
        <v>0</v>
      </c>
      <c r="Q81" t="s">
        <v>25</v>
      </c>
      <c r="R81">
        <f ca="1">DATEDIF(EMP_RAW_Data[[#This Row],[Hire Date]],IF(EMP_RAW_Data[[#This Row],[Exit Date]]="",TODAY(),EMP_RAW_Data[[#This Row],[Exit Date]]),"Y")</f>
        <v>10</v>
      </c>
      <c r="S81" t="str">
        <f>IF(EMP_RAW_Data[[#This Row],[Status]]=1,"Inactive","Active")</f>
        <v>Active</v>
      </c>
    </row>
    <row r="82" spans="1:19" hidden="1" x14ac:dyDescent="0.3">
      <c r="A82" s="1" t="s">
        <v>155</v>
      </c>
      <c r="B82" s="1" t="s">
        <v>96</v>
      </c>
      <c r="C82" s="1" t="s">
        <v>69</v>
      </c>
      <c r="D82" s="1" t="s">
        <v>47</v>
      </c>
      <c r="E82" s="1" t="s">
        <v>29</v>
      </c>
      <c r="F82">
        <v>41</v>
      </c>
      <c r="G82" t="s">
        <v>59</v>
      </c>
      <c r="H82" s="2">
        <v>42626</v>
      </c>
      <c r="I82">
        <v>64847</v>
      </c>
      <c r="J82">
        <v>0</v>
      </c>
      <c r="K82">
        <v>64847</v>
      </c>
      <c r="L82" s="1" t="s">
        <v>23</v>
      </c>
      <c r="M82" s="1" t="s">
        <v>52</v>
      </c>
      <c r="N82" s="2"/>
      <c r="O82">
        <v>81</v>
      </c>
      <c r="P82">
        <v>0</v>
      </c>
      <c r="Q82" t="s">
        <v>25</v>
      </c>
      <c r="R82">
        <f ca="1">DATEDIF(EMP_RAW_Data[[#This Row],[Hire Date]],IF(EMP_RAW_Data[[#This Row],[Exit Date]]="",TODAY(),EMP_RAW_Data[[#This Row],[Exit Date]]),"Y")</f>
        <v>9</v>
      </c>
      <c r="S82" t="str">
        <f>IF(EMP_RAW_Data[[#This Row],[Status]]=1,"Inactive","Active")</f>
        <v>Active</v>
      </c>
    </row>
    <row r="83" spans="1:19" hidden="1" x14ac:dyDescent="0.3">
      <c r="A83" s="1" t="s">
        <v>156</v>
      </c>
      <c r="B83" s="1" t="s">
        <v>89</v>
      </c>
      <c r="C83" s="1" t="s">
        <v>62</v>
      </c>
      <c r="D83" s="1" t="s">
        <v>20</v>
      </c>
      <c r="E83" s="1" t="s">
        <v>29</v>
      </c>
      <c r="F83">
        <v>53</v>
      </c>
      <c r="G83" t="s">
        <v>36</v>
      </c>
      <c r="H83" s="2">
        <v>33702</v>
      </c>
      <c r="I83">
        <v>116878</v>
      </c>
      <c r="J83">
        <v>0.11</v>
      </c>
      <c r="K83">
        <v>129734.58</v>
      </c>
      <c r="L83" s="1" t="s">
        <v>23</v>
      </c>
      <c r="M83" s="1" t="s">
        <v>52</v>
      </c>
      <c r="N83" s="2"/>
      <c r="O83">
        <v>82</v>
      </c>
      <c r="P83">
        <v>0</v>
      </c>
      <c r="Q83" t="s">
        <v>25</v>
      </c>
      <c r="R83">
        <f ca="1">DATEDIF(EMP_RAW_Data[[#This Row],[Hire Date]],IF(EMP_RAW_Data[[#This Row],[Exit Date]]="",TODAY(),EMP_RAW_Data[[#This Row],[Exit Date]]),"Y")</f>
        <v>33</v>
      </c>
      <c r="S83" t="str">
        <f>IF(EMP_RAW_Data[[#This Row],[Status]]=1,"Inactive","Active")</f>
        <v>Active</v>
      </c>
    </row>
    <row r="84" spans="1:19" hidden="1" x14ac:dyDescent="0.3">
      <c r="A84" s="1" t="s">
        <v>157</v>
      </c>
      <c r="B84" s="1" t="s">
        <v>86</v>
      </c>
      <c r="C84" s="1" t="s">
        <v>62</v>
      </c>
      <c r="D84" s="1" t="s">
        <v>35</v>
      </c>
      <c r="E84" s="1" t="s">
        <v>29</v>
      </c>
      <c r="F84">
        <v>45</v>
      </c>
      <c r="G84" t="s">
        <v>36</v>
      </c>
      <c r="H84" s="2">
        <v>38388</v>
      </c>
      <c r="I84">
        <v>70505</v>
      </c>
      <c r="J84">
        <v>0</v>
      </c>
      <c r="K84">
        <v>70505</v>
      </c>
      <c r="L84" s="1" t="s">
        <v>23</v>
      </c>
      <c r="M84" s="1" t="s">
        <v>55</v>
      </c>
      <c r="N84" s="2"/>
      <c r="O84">
        <v>83</v>
      </c>
      <c r="P84">
        <v>0</v>
      </c>
      <c r="Q84" t="s">
        <v>25</v>
      </c>
      <c r="R84">
        <f ca="1">DATEDIF(EMP_RAW_Data[[#This Row],[Hire Date]],IF(EMP_RAW_Data[[#This Row],[Exit Date]]="",TODAY(),EMP_RAW_Data[[#This Row],[Exit Date]]),"Y")</f>
        <v>21</v>
      </c>
      <c r="S84" t="str">
        <f>IF(EMP_RAW_Data[[#This Row],[Status]]=1,"Inactive","Active")</f>
        <v>Active</v>
      </c>
    </row>
    <row r="85" spans="1:19" x14ac:dyDescent="0.3">
      <c r="A85" s="1" t="s">
        <v>158</v>
      </c>
      <c r="B85" s="1" t="s">
        <v>33</v>
      </c>
      <c r="C85" s="1" t="s">
        <v>62</v>
      </c>
      <c r="D85" s="1" t="s">
        <v>20</v>
      </c>
      <c r="E85" s="1" t="s">
        <v>21</v>
      </c>
      <c r="F85">
        <v>30</v>
      </c>
      <c r="G85" t="s">
        <v>40</v>
      </c>
      <c r="H85" s="2">
        <v>42512</v>
      </c>
      <c r="I85">
        <v>189702</v>
      </c>
      <c r="J85">
        <v>0.28000000000000003</v>
      </c>
      <c r="K85">
        <v>242818.56</v>
      </c>
      <c r="L85" s="1" t="s">
        <v>77</v>
      </c>
      <c r="M85" s="1" t="s">
        <v>78</v>
      </c>
      <c r="N85" s="2">
        <v>44186</v>
      </c>
      <c r="O85">
        <v>84</v>
      </c>
      <c r="P85">
        <v>1</v>
      </c>
      <c r="Q85" t="s">
        <v>25</v>
      </c>
      <c r="R85">
        <f ca="1">DATEDIF(EMP_RAW_Data[[#This Row],[Hire Date]],IF(EMP_RAW_Data[[#This Row],[Exit Date]]="",TODAY(),EMP_RAW_Data[[#This Row],[Exit Date]]),"Y")</f>
        <v>4</v>
      </c>
      <c r="S85" t="str">
        <f>IF(EMP_RAW_Data[[#This Row],[Status]]=1,"Inactive","Active")</f>
        <v>Inactive</v>
      </c>
    </row>
    <row r="86" spans="1:19" hidden="1" x14ac:dyDescent="0.3">
      <c r="A86" s="1" t="s">
        <v>159</v>
      </c>
      <c r="B86" s="1" t="s">
        <v>33</v>
      </c>
      <c r="C86" s="1" t="s">
        <v>54</v>
      </c>
      <c r="D86" s="1" t="s">
        <v>35</v>
      </c>
      <c r="E86" s="1" t="s">
        <v>29</v>
      </c>
      <c r="F86">
        <v>26</v>
      </c>
      <c r="G86" t="s">
        <v>40</v>
      </c>
      <c r="H86" s="2">
        <v>44040</v>
      </c>
      <c r="I86">
        <v>180664</v>
      </c>
      <c r="J86">
        <v>0.27</v>
      </c>
      <c r="K86">
        <v>229443.28</v>
      </c>
      <c r="L86" s="1" t="s">
        <v>23</v>
      </c>
      <c r="M86" s="1" t="s">
        <v>37</v>
      </c>
      <c r="N86" s="2"/>
      <c r="O86">
        <v>85</v>
      </c>
      <c r="P86">
        <v>0</v>
      </c>
      <c r="Q86" t="s">
        <v>25</v>
      </c>
      <c r="R86">
        <f ca="1">DATEDIF(EMP_RAW_Data[[#This Row],[Hire Date]],IF(EMP_RAW_Data[[#This Row],[Exit Date]]="",TODAY(),EMP_RAW_Data[[#This Row],[Exit Date]]),"Y")</f>
        <v>5</v>
      </c>
      <c r="S86" t="str">
        <f>IF(EMP_RAW_Data[[#This Row],[Status]]=1,"Inactive","Active")</f>
        <v>Active</v>
      </c>
    </row>
    <row r="87" spans="1:19" hidden="1" x14ac:dyDescent="0.3">
      <c r="A87" s="1" t="s">
        <v>160</v>
      </c>
      <c r="B87" s="1" t="s">
        <v>130</v>
      </c>
      <c r="C87" s="1" t="s">
        <v>58</v>
      </c>
      <c r="D87" s="1" t="s">
        <v>28</v>
      </c>
      <c r="E87" s="1" t="s">
        <v>21</v>
      </c>
      <c r="F87">
        <v>45</v>
      </c>
      <c r="G87" t="s">
        <v>36</v>
      </c>
      <c r="H87" s="2">
        <v>37972</v>
      </c>
      <c r="I87">
        <v>48345</v>
      </c>
      <c r="J87">
        <v>0</v>
      </c>
      <c r="K87">
        <v>48345</v>
      </c>
      <c r="L87" s="1" t="s">
        <v>30</v>
      </c>
      <c r="M87" s="1" t="s">
        <v>102</v>
      </c>
      <c r="N87" s="2"/>
      <c r="O87">
        <v>86</v>
      </c>
      <c r="P87">
        <v>0</v>
      </c>
      <c r="Q87" t="s">
        <v>25</v>
      </c>
      <c r="R87">
        <f ca="1">DATEDIF(EMP_RAW_Data[[#This Row],[Hire Date]],IF(EMP_RAW_Data[[#This Row],[Exit Date]]="",TODAY(),EMP_RAW_Data[[#This Row],[Exit Date]]),"Y")</f>
        <v>22</v>
      </c>
      <c r="S87" t="str">
        <f>IF(EMP_RAW_Data[[#This Row],[Status]]=1,"Inactive","Active")</f>
        <v>Active</v>
      </c>
    </row>
    <row r="88" spans="1:19" hidden="1" x14ac:dyDescent="0.3">
      <c r="A88" s="1" t="s">
        <v>161</v>
      </c>
      <c r="B88" s="1" t="s">
        <v>33</v>
      </c>
      <c r="C88" s="1" t="s">
        <v>58</v>
      </c>
      <c r="D88" s="1" t="s">
        <v>28</v>
      </c>
      <c r="E88" s="1" t="s">
        <v>29</v>
      </c>
      <c r="F88">
        <v>42</v>
      </c>
      <c r="G88" t="s">
        <v>59</v>
      </c>
      <c r="H88" s="2">
        <v>41655</v>
      </c>
      <c r="I88">
        <v>152214</v>
      </c>
      <c r="J88">
        <v>0.3</v>
      </c>
      <c r="K88">
        <v>197878.2</v>
      </c>
      <c r="L88" s="1" t="s">
        <v>30</v>
      </c>
      <c r="M88" s="1" t="s">
        <v>90</v>
      </c>
      <c r="N88" s="2"/>
      <c r="O88">
        <v>87</v>
      </c>
      <c r="P88">
        <v>0</v>
      </c>
      <c r="Q88" t="s">
        <v>25</v>
      </c>
      <c r="R88">
        <f ca="1">DATEDIF(EMP_RAW_Data[[#This Row],[Hire Date]],IF(EMP_RAW_Data[[#This Row],[Exit Date]]="",TODAY(),EMP_RAW_Data[[#This Row],[Exit Date]]),"Y")</f>
        <v>12</v>
      </c>
      <c r="S88" t="str">
        <f>IF(EMP_RAW_Data[[#This Row],[Status]]=1,"Inactive","Active")</f>
        <v>Active</v>
      </c>
    </row>
    <row r="89" spans="1:19" hidden="1" x14ac:dyDescent="0.3">
      <c r="A89" s="1" t="s">
        <v>162</v>
      </c>
      <c r="B89" s="1" t="s">
        <v>142</v>
      </c>
      <c r="C89" s="1" t="s">
        <v>19</v>
      </c>
      <c r="D89" s="1" t="s">
        <v>47</v>
      </c>
      <c r="E89" s="1" t="s">
        <v>21</v>
      </c>
      <c r="F89">
        <v>41</v>
      </c>
      <c r="G89" t="s">
        <v>59</v>
      </c>
      <c r="H89" s="2">
        <v>39931</v>
      </c>
      <c r="I89">
        <v>69803</v>
      </c>
      <c r="J89">
        <v>0</v>
      </c>
      <c r="K89">
        <v>69803</v>
      </c>
      <c r="L89" s="1" t="s">
        <v>77</v>
      </c>
      <c r="M89" s="1" t="s">
        <v>78</v>
      </c>
      <c r="N89" s="2"/>
      <c r="O89">
        <v>88</v>
      </c>
      <c r="P89">
        <v>0</v>
      </c>
      <c r="Q89" t="s">
        <v>25</v>
      </c>
      <c r="R89">
        <f ca="1">DATEDIF(EMP_RAW_Data[[#This Row],[Hire Date]],IF(EMP_RAW_Data[[#This Row],[Exit Date]]="",TODAY(),EMP_RAW_Data[[#This Row],[Exit Date]]),"Y")</f>
        <v>16</v>
      </c>
      <c r="S89" t="str">
        <f>IF(EMP_RAW_Data[[#This Row],[Status]]=1,"Inactive","Active")</f>
        <v>Active</v>
      </c>
    </row>
    <row r="90" spans="1:19" hidden="1" x14ac:dyDescent="0.3">
      <c r="A90" s="1" t="s">
        <v>163</v>
      </c>
      <c r="B90" s="1" t="s">
        <v>164</v>
      </c>
      <c r="C90" s="1" t="s">
        <v>19</v>
      </c>
      <c r="D90" s="1" t="s">
        <v>47</v>
      </c>
      <c r="E90" s="1" t="s">
        <v>21</v>
      </c>
      <c r="F90">
        <v>48</v>
      </c>
      <c r="G90" t="s">
        <v>36</v>
      </c>
      <c r="H90" s="2">
        <v>43650</v>
      </c>
      <c r="I90">
        <v>76588</v>
      </c>
      <c r="J90">
        <v>0</v>
      </c>
      <c r="K90">
        <v>76588</v>
      </c>
      <c r="L90" s="1" t="s">
        <v>77</v>
      </c>
      <c r="M90" s="1" t="s">
        <v>81</v>
      </c>
      <c r="N90" s="2"/>
      <c r="O90">
        <v>89</v>
      </c>
      <c r="P90">
        <v>0</v>
      </c>
      <c r="Q90" t="s">
        <v>25</v>
      </c>
      <c r="R90">
        <f ca="1">DATEDIF(EMP_RAW_Data[[#This Row],[Hire Date]],IF(EMP_RAW_Data[[#This Row],[Exit Date]]="",TODAY(),EMP_RAW_Data[[#This Row],[Exit Date]]),"Y")</f>
        <v>6</v>
      </c>
      <c r="S90" t="str">
        <f>IF(EMP_RAW_Data[[#This Row],[Status]]=1,"Inactive","Active")</f>
        <v>Active</v>
      </c>
    </row>
    <row r="91" spans="1:19" hidden="1" x14ac:dyDescent="0.3">
      <c r="A91" s="1" t="s">
        <v>165</v>
      </c>
      <c r="B91" s="1" t="s">
        <v>166</v>
      </c>
      <c r="C91" s="1" t="s">
        <v>19</v>
      </c>
      <c r="D91" s="1" t="s">
        <v>28</v>
      </c>
      <c r="E91" s="1" t="s">
        <v>29</v>
      </c>
      <c r="F91">
        <v>29</v>
      </c>
      <c r="G91" t="s">
        <v>40</v>
      </c>
      <c r="H91" s="2">
        <v>43444</v>
      </c>
      <c r="I91">
        <v>84596</v>
      </c>
      <c r="J91">
        <v>0</v>
      </c>
      <c r="K91">
        <v>84596</v>
      </c>
      <c r="L91" s="1" t="s">
        <v>23</v>
      </c>
      <c r="M91" s="1" t="s">
        <v>52</v>
      </c>
      <c r="N91" s="2"/>
      <c r="O91">
        <v>90</v>
      </c>
      <c r="P91">
        <v>0</v>
      </c>
      <c r="Q91" t="s">
        <v>25</v>
      </c>
      <c r="R91">
        <f ca="1">DATEDIF(EMP_RAW_Data[[#This Row],[Hire Date]],IF(EMP_RAW_Data[[#This Row],[Exit Date]]="",TODAY(),EMP_RAW_Data[[#This Row],[Exit Date]]),"Y")</f>
        <v>7</v>
      </c>
      <c r="S91" t="str">
        <f>IF(EMP_RAW_Data[[#This Row],[Status]]=1,"Inactive","Active")</f>
        <v>Active</v>
      </c>
    </row>
    <row r="92" spans="1:19" x14ac:dyDescent="0.3">
      <c r="A92" s="1" t="s">
        <v>167</v>
      </c>
      <c r="B92" s="1" t="s">
        <v>49</v>
      </c>
      <c r="C92" s="1" t="s">
        <v>69</v>
      </c>
      <c r="D92" s="1" t="s">
        <v>20</v>
      </c>
      <c r="E92" s="1" t="s">
        <v>29</v>
      </c>
      <c r="F92">
        <v>27</v>
      </c>
      <c r="G92" t="s">
        <v>40</v>
      </c>
      <c r="H92" s="2">
        <v>43368</v>
      </c>
      <c r="I92">
        <v>114441</v>
      </c>
      <c r="J92">
        <v>0.1</v>
      </c>
      <c r="K92">
        <v>125885.1</v>
      </c>
      <c r="L92" s="1" t="s">
        <v>30</v>
      </c>
      <c r="M92" s="1" t="s">
        <v>31</v>
      </c>
      <c r="N92" s="2">
        <v>43821</v>
      </c>
      <c r="O92">
        <v>91</v>
      </c>
      <c r="P92">
        <v>1</v>
      </c>
      <c r="Q92" t="s">
        <v>25</v>
      </c>
      <c r="R92">
        <f ca="1">DATEDIF(EMP_RAW_Data[[#This Row],[Hire Date]],IF(EMP_RAW_Data[[#This Row],[Exit Date]]="",TODAY(),EMP_RAW_Data[[#This Row],[Exit Date]]),"Y")</f>
        <v>1</v>
      </c>
      <c r="S92" t="str">
        <f>IF(EMP_RAW_Data[[#This Row],[Status]]=1,"Inactive","Active")</f>
        <v>Inactive</v>
      </c>
    </row>
    <row r="93" spans="1:19" hidden="1" x14ac:dyDescent="0.3">
      <c r="A93" s="1" t="s">
        <v>168</v>
      </c>
      <c r="B93" s="1" t="s">
        <v>18</v>
      </c>
      <c r="C93" s="1" t="s">
        <v>34</v>
      </c>
      <c r="D93" s="1" t="s">
        <v>35</v>
      </c>
      <c r="E93" s="1" t="s">
        <v>21</v>
      </c>
      <c r="F93">
        <v>33</v>
      </c>
      <c r="G93" t="s">
        <v>40</v>
      </c>
      <c r="H93" s="2">
        <v>43211</v>
      </c>
      <c r="I93">
        <v>140402</v>
      </c>
      <c r="J93">
        <v>0.15</v>
      </c>
      <c r="K93">
        <v>161462.29999999999</v>
      </c>
      <c r="L93" s="1" t="s">
        <v>30</v>
      </c>
      <c r="M93" s="1" t="s">
        <v>90</v>
      </c>
      <c r="N93" s="2"/>
      <c r="O93">
        <v>92</v>
      </c>
      <c r="P93">
        <v>0</v>
      </c>
      <c r="Q93" t="s">
        <v>25</v>
      </c>
      <c r="R93">
        <f ca="1">DATEDIF(EMP_RAW_Data[[#This Row],[Hire Date]],IF(EMP_RAW_Data[[#This Row],[Exit Date]]="",TODAY(),EMP_RAW_Data[[#This Row],[Exit Date]]),"Y")</f>
        <v>7</v>
      </c>
      <c r="S93" t="str">
        <f>IF(EMP_RAW_Data[[#This Row],[Status]]=1,"Inactive","Active")</f>
        <v>Active</v>
      </c>
    </row>
    <row r="94" spans="1:19" hidden="1" x14ac:dyDescent="0.3">
      <c r="A94" s="1" t="s">
        <v>169</v>
      </c>
      <c r="B94" s="1" t="s">
        <v>96</v>
      </c>
      <c r="C94" s="1" t="s">
        <v>34</v>
      </c>
      <c r="D94" s="1" t="s">
        <v>47</v>
      </c>
      <c r="E94" s="1" t="s">
        <v>21</v>
      </c>
      <c r="F94">
        <v>26</v>
      </c>
      <c r="G94" t="s">
        <v>40</v>
      </c>
      <c r="H94" s="2">
        <v>43578</v>
      </c>
      <c r="I94">
        <v>59817</v>
      </c>
      <c r="J94">
        <v>0</v>
      </c>
      <c r="K94">
        <v>59817</v>
      </c>
      <c r="L94" s="1" t="s">
        <v>77</v>
      </c>
      <c r="M94" s="1" t="s">
        <v>148</v>
      </c>
      <c r="N94" s="2"/>
      <c r="O94">
        <v>93</v>
      </c>
      <c r="P94">
        <v>0</v>
      </c>
      <c r="Q94" t="s">
        <v>25</v>
      </c>
      <c r="R94">
        <f ca="1">DATEDIF(EMP_RAW_Data[[#This Row],[Hire Date]],IF(EMP_RAW_Data[[#This Row],[Exit Date]]="",TODAY(),EMP_RAW_Data[[#This Row],[Exit Date]]),"Y")</f>
        <v>6</v>
      </c>
      <c r="S94" t="str">
        <f>IF(EMP_RAW_Data[[#This Row],[Status]]=1,"Inactive","Active")</f>
        <v>Active</v>
      </c>
    </row>
    <row r="95" spans="1:19" hidden="1" x14ac:dyDescent="0.3">
      <c r="A95" s="1" t="s">
        <v>170</v>
      </c>
      <c r="B95" s="1" t="s">
        <v>45</v>
      </c>
      <c r="C95" s="1" t="s">
        <v>46</v>
      </c>
      <c r="D95" s="1" t="s">
        <v>28</v>
      </c>
      <c r="E95" s="1" t="s">
        <v>29</v>
      </c>
      <c r="F95">
        <v>31</v>
      </c>
      <c r="G95" t="s">
        <v>40</v>
      </c>
      <c r="H95" s="2">
        <v>42938</v>
      </c>
      <c r="I95">
        <v>55854</v>
      </c>
      <c r="J95">
        <v>0</v>
      </c>
      <c r="K95">
        <v>55854</v>
      </c>
      <c r="L95" s="1" t="s">
        <v>23</v>
      </c>
      <c r="M95" s="1" t="s">
        <v>55</v>
      </c>
      <c r="N95" s="2"/>
      <c r="O95">
        <v>94</v>
      </c>
      <c r="P95">
        <v>0</v>
      </c>
      <c r="Q95" t="s">
        <v>25</v>
      </c>
      <c r="R95">
        <f ca="1">DATEDIF(EMP_RAW_Data[[#This Row],[Hire Date]],IF(EMP_RAW_Data[[#This Row],[Exit Date]]="",TODAY(),EMP_RAW_Data[[#This Row],[Exit Date]]),"Y")</f>
        <v>8</v>
      </c>
      <c r="S95" t="str">
        <f>IF(EMP_RAW_Data[[#This Row],[Status]]=1,"Inactive","Active")</f>
        <v>Active</v>
      </c>
    </row>
    <row r="96" spans="1:19" hidden="1" x14ac:dyDescent="0.3">
      <c r="A96" s="1" t="s">
        <v>171</v>
      </c>
      <c r="B96" s="1" t="s">
        <v>107</v>
      </c>
      <c r="C96" s="1" t="s">
        <v>58</v>
      </c>
      <c r="D96" s="1" t="s">
        <v>20</v>
      </c>
      <c r="E96" s="1" t="s">
        <v>29</v>
      </c>
      <c r="F96">
        <v>53</v>
      </c>
      <c r="G96" t="s">
        <v>36</v>
      </c>
      <c r="H96" s="2">
        <v>37576</v>
      </c>
      <c r="I96">
        <v>95998</v>
      </c>
      <c r="J96">
        <v>0</v>
      </c>
      <c r="K96">
        <v>95998</v>
      </c>
      <c r="L96" s="1" t="s">
        <v>23</v>
      </c>
      <c r="M96" s="1" t="s">
        <v>24</v>
      </c>
      <c r="N96" s="2"/>
      <c r="O96">
        <v>95</v>
      </c>
      <c r="P96">
        <v>0</v>
      </c>
      <c r="Q96" t="s">
        <v>25</v>
      </c>
      <c r="R96">
        <f ca="1">DATEDIF(EMP_RAW_Data[[#This Row],[Hire Date]],IF(EMP_RAW_Data[[#This Row],[Exit Date]]="",TODAY(),EMP_RAW_Data[[#This Row],[Exit Date]]),"Y")</f>
        <v>23</v>
      </c>
      <c r="S96" t="str">
        <f>IF(EMP_RAW_Data[[#This Row],[Status]]=1,"Inactive","Active")</f>
        <v>Active</v>
      </c>
    </row>
    <row r="97" spans="1:19" hidden="1" x14ac:dyDescent="0.3">
      <c r="A97" s="1" t="s">
        <v>172</v>
      </c>
      <c r="B97" s="1" t="s">
        <v>18</v>
      </c>
      <c r="C97" s="1" t="s">
        <v>46</v>
      </c>
      <c r="D97" s="1" t="s">
        <v>28</v>
      </c>
      <c r="E97" s="1" t="s">
        <v>21</v>
      </c>
      <c r="F97">
        <v>34</v>
      </c>
      <c r="G97" t="s">
        <v>40</v>
      </c>
      <c r="H97" s="2">
        <v>42116</v>
      </c>
      <c r="I97">
        <v>154941</v>
      </c>
      <c r="J97">
        <v>0.13</v>
      </c>
      <c r="K97">
        <v>175083.33000000002</v>
      </c>
      <c r="L97" s="1" t="s">
        <v>23</v>
      </c>
      <c r="M97" s="1" t="s">
        <v>43</v>
      </c>
      <c r="N97" s="2"/>
      <c r="O97">
        <v>96</v>
      </c>
      <c r="P97">
        <v>0</v>
      </c>
      <c r="Q97" t="s">
        <v>25</v>
      </c>
      <c r="R97">
        <f ca="1">DATEDIF(EMP_RAW_Data[[#This Row],[Hire Date]],IF(EMP_RAW_Data[[#This Row],[Exit Date]]="",TODAY(),EMP_RAW_Data[[#This Row],[Exit Date]]),"Y")</f>
        <v>10</v>
      </c>
      <c r="S97" t="str">
        <f>IF(EMP_RAW_Data[[#This Row],[Status]]=1,"Inactive","Active")</f>
        <v>Active</v>
      </c>
    </row>
    <row r="98" spans="1:19" hidden="1" x14ac:dyDescent="0.3">
      <c r="A98" s="1" t="s">
        <v>173</v>
      </c>
      <c r="B98" s="1" t="s">
        <v>68</v>
      </c>
      <c r="C98" s="1" t="s">
        <v>34</v>
      </c>
      <c r="D98" s="1" t="s">
        <v>35</v>
      </c>
      <c r="E98" s="1" t="s">
        <v>21</v>
      </c>
      <c r="F98">
        <v>54</v>
      </c>
      <c r="G98" t="s">
        <v>36</v>
      </c>
      <c r="H98" s="2">
        <v>40734</v>
      </c>
      <c r="I98">
        <v>247022</v>
      </c>
      <c r="J98">
        <v>0.3</v>
      </c>
      <c r="K98">
        <v>321128.59999999998</v>
      </c>
      <c r="L98" s="1" t="s">
        <v>30</v>
      </c>
      <c r="M98" s="1" t="s">
        <v>90</v>
      </c>
      <c r="N98" s="2"/>
      <c r="O98">
        <v>97</v>
      </c>
      <c r="P98">
        <v>0</v>
      </c>
      <c r="Q98" t="s">
        <v>25</v>
      </c>
      <c r="R98">
        <f ca="1">DATEDIF(EMP_RAW_Data[[#This Row],[Hire Date]],IF(EMP_RAW_Data[[#This Row],[Exit Date]]="",TODAY(),EMP_RAW_Data[[#This Row],[Exit Date]]),"Y")</f>
        <v>14</v>
      </c>
      <c r="S98" t="str">
        <f>IF(EMP_RAW_Data[[#This Row],[Status]]=1,"Inactive","Active")</f>
        <v>Active</v>
      </c>
    </row>
    <row r="99" spans="1:19" hidden="1" x14ac:dyDescent="0.3">
      <c r="A99" s="1" t="s">
        <v>174</v>
      </c>
      <c r="B99" s="1" t="s">
        <v>164</v>
      </c>
      <c r="C99" s="1" t="s">
        <v>19</v>
      </c>
      <c r="D99" s="1" t="s">
        <v>28</v>
      </c>
      <c r="E99" s="1" t="s">
        <v>21</v>
      </c>
      <c r="F99">
        <v>32</v>
      </c>
      <c r="G99" t="s">
        <v>40</v>
      </c>
      <c r="H99" s="2">
        <v>44474</v>
      </c>
      <c r="I99">
        <v>88072</v>
      </c>
      <c r="J99">
        <v>0</v>
      </c>
      <c r="K99">
        <v>88072</v>
      </c>
      <c r="L99" s="1" t="s">
        <v>77</v>
      </c>
      <c r="M99" s="1" t="s">
        <v>148</v>
      </c>
      <c r="N99" s="2"/>
      <c r="O99">
        <v>98</v>
      </c>
      <c r="P99">
        <v>0</v>
      </c>
      <c r="Q99" t="s">
        <v>25</v>
      </c>
      <c r="R99">
        <f ca="1">DATEDIF(EMP_RAW_Data[[#This Row],[Hire Date]],IF(EMP_RAW_Data[[#This Row],[Exit Date]]="",TODAY(),EMP_RAW_Data[[#This Row],[Exit Date]]),"Y")</f>
        <v>4</v>
      </c>
      <c r="S99" t="str">
        <f>IF(EMP_RAW_Data[[#This Row],[Status]]=1,"Inactive","Active")</f>
        <v>Active</v>
      </c>
    </row>
    <row r="100" spans="1:19" hidden="1" x14ac:dyDescent="0.3">
      <c r="A100" s="1" t="s">
        <v>175</v>
      </c>
      <c r="B100" s="1" t="s">
        <v>39</v>
      </c>
      <c r="C100" s="1" t="s">
        <v>19</v>
      </c>
      <c r="D100" s="1" t="s">
        <v>20</v>
      </c>
      <c r="E100" s="1" t="s">
        <v>29</v>
      </c>
      <c r="F100">
        <v>28</v>
      </c>
      <c r="G100" t="s">
        <v>40</v>
      </c>
      <c r="H100" s="2">
        <v>43977</v>
      </c>
      <c r="I100">
        <v>67925</v>
      </c>
      <c r="J100">
        <v>0.08</v>
      </c>
      <c r="K100">
        <v>73359</v>
      </c>
      <c r="L100" s="1" t="s">
        <v>30</v>
      </c>
      <c r="M100" s="1" t="s">
        <v>65</v>
      </c>
      <c r="N100" s="2"/>
      <c r="O100">
        <v>99</v>
      </c>
      <c r="P100">
        <v>0</v>
      </c>
      <c r="Q100" t="s">
        <v>25</v>
      </c>
      <c r="R100">
        <f ca="1">DATEDIF(EMP_RAW_Data[[#This Row],[Hire Date]],IF(EMP_RAW_Data[[#This Row],[Exit Date]]="",TODAY(),EMP_RAW_Data[[#This Row],[Exit Date]]),"Y")</f>
        <v>5</v>
      </c>
      <c r="S100" t="str">
        <f>IF(EMP_RAW_Data[[#This Row],[Status]]=1,"Inactive","Active")</f>
        <v>Active</v>
      </c>
    </row>
    <row r="101" spans="1:19" hidden="1" x14ac:dyDescent="0.3">
      <c r="A101" s="1" t="s">
        <v>176</v>
      </c>
      <c r="B101" s="1" t="s">
        <v>68</v>
      </c>
      <c r="C101" s="1" t="s">
        <v>46</v>
      </c>
      <c r="D101" s="1" t="s">
        <v>28</v>
      </c>
      <c r="E101" s="1" t="s">
        <v>21</v>
      </c>
      <c r="F101">
        <v>31</v>
      </c>
      <c r="G101" t="s">
        <v>40</v>
      </c>
      <c r="H101" s="2">
        <v>44063</v>
      </c>
      <c r="I101">
        <v>219693</v>
      </c>
      <c r="J101">
        <v>0.3</v>
      </c>
      <c r="K101">
        <v>285600.90000000002</v>
      </c>
      <c r="L101" s="1" t="s">
        <v>23</v>
      </c>
      <c r="M101" s="1" t="s">
        <v>55</v>
      </c>
      <c r="N101" s="2"/>
      <c r="O101">
        <v>100</v>
      </c>
      <c r="P101">
        <v>0</v>
      </c>
      <c r="Q101" t="s">
        <v>25</v>
      </c>
      <c r="R101">
        <f ca="1">DATEDIF(EMP_RAW_Data[[#This Row],[Hire Date]],IF(EMP_RAW_Data[[#This Row],[Exit Date]]="",TODAY(),EMP_RAW_Data[[#This Row],[Exit Date]]),"Y")</f>
        <v>5</v>
      </c>
      <c r="S101" t="str">
        <f>IF(EMP_RAW_Data[[#This Row],[Status]]=1,"Inactive","Active")</f>
        <v>Active</v>
      </c>
    </row>
    <row r="102" spans="1:19" hidden="1" x14ac:dyDescent="0.3">
      <c r="A102" s="1" t="s">
        <v>177</v>
      </c>
      <c r="B102" s="1" t="s">
        <v>151</v>
      </c>
      <c r="C102" s="1" t="s">
        <v>62</v>
      </c>
      <c r="D102" s="1" t="s">
        <v>20</v>
      </c>
      <c r="E102" s="1" t="s">
        <v>21</v>
      </c>
      <c r="F102">
        <v>45</v>
      </c>
      <c r="G102" t="s">
        <v>36</v>
      </c>
      <c r="H102" s="2">
        <v>41386</v>
      </c>
      <c r="I102">
        <v>61773</v>
      </c>
      <c r="J102">
        <v>0</v>
      </c>
      <c r="K102">
        <v>61773</v>
      </c>
      <c r="L102" s="1" t="s">
        <v>23</v>
      </c>
      <c r="M102" s="1" t="s">
        <v>24</v>
      </c>
      <c r="N102" s="2"/>
      <c r="O102">
        <v>101</v>
      </c>
      <c r="P102">
        <v>0</v>
      </c>
      <c r="Q102" t="s">
        <v>25</v>
      </c>
      <c r="R102">
        <f ca="1">DATEDIF(EMP_RAW_Data[[#This Row],[Hire Date]],IF(EMP_RAW_Data[[#This Row],[Exit Date]]="",TODAY(),EMP_RAW_Data[[#This Row],[Exit Date]]),"Y")</f>
        <v>12</v>
      </c>
      <c r="S102" t="str">
        <f>IF(EMP_RAW_Data[[#This Row],[Status]]=1,"Inactive","Active")</f>
        <v>Active</v>
      </c>
    </row>
    <row r="103" spans="1:19" hidden="1" x14ac:dyDescent="0.3">
      <c r="A103" s="1" t="s">
        <v>178</v>
      </c>
      <c r="B103" s="1" t="s">
        <v>39</v>
      </c>
      <c r="C103" s="1" t="s">
        <v>19</v>
      </c>
      <c r="D103" s="1" t="s">
        <v>35</v>
      </c>
      <c r="E103" s="1" t="s">
        <v>21</v>
      </c>
      <c r="F103">
        <v>48</v>
      </c>
      <c r="G103" t="s">
        <v>36</v>
      </c>
      <c r="H103" s="2">
        <v>39091</v>
      </c>
      <c r="I103">
        <v>74546</v>
      </c>
      <c r="J103">
        <v>0.09</v>
      </c>
      <c r="K103">
        <v>81255.14</v>
      </c>
      <c r="L103" s="1" t="s">
        <v>23</v>
      </c>
      <c r="M103" s="1" t="s">
        <v>24</v>
      </c>
      <c r="N103" s="2"/>
      <c r="O103">
        <v>102</v>
      </c>
      <c r="P103">
        <v>0</v>
      </c>
      <c r="Q103" t="s">
        <v>25</v>
      </c>
      <c r="R103">
        <f ca="1">DATEDIF(EMP_RAW_Data[[#This Row],[Hire Date]],IF(EMP_RAW_Data[[#This Row],[Exit Date]]="",TODAY(),EMP_RAW_Data[[#This Row],[Exit Date]]),"Y")</f>
        <v>19</v>
      </c>
      <c r="S103" t="str">
        <f>IF(EMP_RAW_Data[[#This Row],[Status]]=1,"Inactive","Active")</f>
        <v>Active</v>
      </c>
    </row>
    <row r="104" spans="1:19" hidden="1" x14ac:dyDescent="0.3">
      <c r="A104" s="1" t="s">
        <v>179</v>
      </c>
      <c r="B104" s="1" t="s">
        <v>180</v>
      </c>
      <c r="C104" s="1" t="s">
        <v>62</v>
      </c>
      <c r="D104" s="1" t="s">
        <v>35</v>
      </c>
      <c r="E104" s="1" t="s">
        <v>29</v>
      </c>
      <c r="F104">
        <v>56</v>
      </c>
      <c r="G104" t="s">
        <v>22</v>
      </c>
      <c r="H104" s="2">
        <v>42031</v>
      </c>
      <c r="I104">
        <v>62575</v>
      </c>
      <c r="J104">
        <v>0</v>
      </c>
      <c r="K104">
        <v>62575</v>
      </c>
      <c r="L104" s="1" t="s">
        <v>23</v>
      </c>
      <c r="M104" s="1" t="s">
        <v>52</v>
      </c>
      <c r="N104" s="2"/>
      <c r="O104">
        <v>103</v>
      </c>
      <c r="P104">
        <v>0</v>
      </c>
      <c r="Q104" t="s">
        <v>25</v>
      </c>
      <c r="R104">
        <f ca="1">DATEDIF(EMP_RAW_Data[[#This Row],[Hire Date]],IF(EMP_RAW_Data[[#This Row],[Exit Date]]="",TODAY(),EMP_RAW_Data[[#This Row],[Exit Date]]),"Y")</f>
        <v>11</v>
      </c>
      <c r="S104" t="str">
        <f>IF(EMP_RAW_Data[[#This Row],[Status]]=1,"Inactive","Active")</f>
        <v>Active</v>
      </c>
    </row>
    <row r="105" spans="1:19" hidden="1" x14ac:dyDescent="0.3">
      <c r="A105" s="1" t="s">
        <v>181</v>
      </c>
      <c r="B105" s="1" t="s">
        <v>33</v>
      </c>
      <c r="C105" s="1" t="s">
        <v>58</v>
      </c>
      <c r="D105" s="1" t="s">
        <v>47</v>
      </c>
      <c r="E105" s="1" t="s">
        <v>21</v>
      </c>
      <c r="F105">
        <v>27</v>
      </c>
      <c r="G105" t="s">
        <v>40</v>
      </c>
      <c r="H105" s="2">
        <v>44250</v>
      </c>
      <c r="I105">
        <v>199041</v>
      </c>
      <c r="J105">
        <v>0.16</v>
      </c>
      <c r="K105">
        <v>230887.56</v>
      </c>
      <c r="L105" s="1" t="s">
        <v>30</v>
      </c>
      <c r="M105" s="1" t="s">
        <v>90</v>
      </c>
      <c r="N105" s="2"/>
      <c r="O105">
        <v>104</v>
      </c>
      <c r="P105">
        <v>0</v>
      </c>
      <c r="Q105" t="s">
        <v>25</v>
      </c>
      <c r="R105">
        <f ca="1">DATEDIF(EMP_RAW_Data[[#This Row],[Hire Date]],IF(EMP_RAW_Data[[#This Row],[Exit Date]]="",TODAY(),EMP_RAW_Data[[#This Row],[Exit Date]]),"Y")</f>
        <v>5</v>
      </c>
      <c r="S105" t="str">
        <f>IF(EMP_RAW_Data[[#This Row],[Status]]=1,"Inactive","Active")</f>
        <v>Active</v>
      </c>
    </row>
    <row r="106" spans="1:19" x14ac:dyDescent="0.3">
      <c r="A106" s="1" t="s">
        <v>182</v>
      </c>
      <c r="B106" s="1" t="s">
        <v>96</v>
      </c>
      <c r="C106" s="1" t="s">
        <v>54</v>
      </c>
      <c r="D106" s="1" t="s">
        <v>35</v>
      </c>
      <c r="E106" s="1" t="s">
        <v>29</v>
      </c>
      <c r="F106">
        <v>55</v>
      </c>
      <c r="G106" t="s">
        <v>22</v>
      </c>
      <c r="H106" s="2">
        <v>39177</v>
      </c>
      <c r="I106">
        <v>52310</v>
      </c>
      <c r="J106">
        <v>0</v>
      </c>
      <c r="K106">
        <v>52310</v>
      </c>
      <c r="L106" s="1" t="s">
        <v>23</v>
      </c>
      <c r="M106" s="1" t="s">
        <v>52</v>
      </c>
      <c r="N106" s="2">
        <v>43385</v>
      </c>
      <c r="O106">
        <v>105</v>
      </c>
      <c r="P106">
        <v>1</v>
      </c>
      <c r="Q106" t="s">
        <v>25</v>
      </c>
      <c r="R106">
        <f ca="1">DATEDIF(EMP_RAW_Data[[#This Row],[Hire Date]],IF(EMP_RAW_Data[[#This Row],[Exit Date]]="",TODAY(),EMP_RAW_Data[[#This Row],[Exit Date]]),"Y")</f>
        <v>11</v>
      </c>
      <c r="S106" t="str">
        <f>IF(EMP_RAW_Data[[#This Row],[Status]]=1,"Inactive","Active")</f>
        <v>Inactive</v>
      </c>
    </row>
    <row r="107" spans="1:19" hidden="1" x14ac:dyDescent="0.3">
      <c r="A107" s="1" t="s">
        <v>183</v>
      </c>
      <c r="B107" s="1" t="s">
        <v>18</v>
      </c>
      <c r="C107" s="1" t="s">
        <v>34</v>
      </c>
      <c r="D107" s="1" t="s">
        <v>35</v>
      </c>
      <c r="E107" s="1" t="s">
        <v>29</v>
      </c>
      <c r="F107">
        <v>64</v>
      </c>
      <c r="G107" t="s">
        <v>22</v>
      </c>
      <c r="H107" s="2">
        <v>41454</v>
      </c>
      <c r="I107">
        <v>159571</v>
      </c>
      <c r="J107">
        <v>0.1</v>
      </c>
      <c r="K107">
        <v>175528.1</v>
      </c>
      <c r="L107" s="1" t="s">
        <v>23</v>
      </c>
      <c r="M107" s="1" t="s">
        <v>74</v>
      </c>
      <c r="N107" s="2"/>
      <c r="O107">
        <v>106</v>
      </c>
      <c r="P107">
        <v>0</v>
      </c>
      <c r="Q107" t="s">
        <v>25</v>
      </c>
      <c r="R107">
        <f ca="1">DATEDIF(EMP_RAW_Data[[#This Row],[Hire Date]],IF(EMP_RAW_Data[[#This Row],[Exit Date]]="",TODAY(),EMP_RAW_Data[[#This Row],[Exit Date]]),"Y")</f>
        <v>12</v>
      </c>
      <c r="S107" t="str">
        <f>IF(EMP_RAW_Data[[#This Row],[Status]]=1,"Inactive","Active")</f>
        <v>Active</v>
      </c>
    </row>
    <row r="108" spans="1:19" hidden="1" x14ac:dyDescent="0.3">
      <c r="A108" s="1" t="s">
        <v>184</v>
      </c>
      <c r="B108" s="1" t="s">
        <v>124</v>
      </c>
      <c r="C108" s="1" t="s">
        <v>62</v>
      </c>
      <c r="D108" s="1" t="s">
        <v>20</v>
      </c>
      <c r="E108" s="1" t="s">
        <v>21</v>
      </c>
      <c r="F108">
        <v>50</v>
      </c>
      <c r="G108" t="s">
        <v>36</v>
      </c>
      <c r="H108" s="2">
        <v>35726</v>
      </c>
      <c r="I108">
        <v>91763</v>
      </c>
      <c r="J108">
        <v>0</v>
      </c>
      <c r="K108">
        <v>91763</v>
      </c>
      <c r="L108" s="1" t="s">
        <v>23</v>
      </c>
      <c r="M108" s="1" t="s">
        <v>55</v>
      </c>
      <c r="N108" s="2"/>
      <c r="O108">
        <v>107</v>
      </c>
      <c r="P108">
        <v>0</v>
      </c>
      <c r="Q108" t="s">
        <v>25</v>
      </c>
      <c r="R108">
        <f ca="1">DATEDIF(EMP_RAW_Data[[#This Row],[Hire Date]],IF(EMP_RAW_Data[[#This Row],[Exit Date]]="",TODAY(),EMP_RAW_Data[[#This Row],[Exit Date]]),"Y")</f>
        <v>28</v>
      </c>
      <c r="S108" t="str">
        <f>IF(EMP_RAW_Data[[#This Row],[Status]]=1,"Inactive","Active")</f>
        <v>Active</v>
      </c>
    </row>
    <row r="109" spans="1:19" hidden="1" x14ac:dyDescent="0.3">
      <c r="A109" s="1" t="s">
        <v>185</v>
      </c>
      <c r="B109" s="1" t="s">
        <v>180</v>
      </c>
      <c r="C109" s="1" t="s">
        <v>62</v>
      </c>
      <c r="D109" s="1" t="s">
        <v>47</v>
      </c>
      <c r="E109" s="1" t="s">
        <v>21</v>
      </c>
      <c r="F109">
        <v>51</v>
      </c>
      <c r="G109" t="s">
        <v>36</v>
      </c>
      <c r="H109" s="2">
        <v>35055</v>
      </c>
      <c r="I109">
        <v>96475</v>
      </c>
      <c r="J109">
        <v>0</v>
      </c>
      <c r="K109">
        <v>96475</v>
      </c>
      <c r="L109" s="1" t="s">
        <v>23</v>
      </c>
      <c r="M109" s="1" t="s">
        <v>55</v>
      </c>
      <c r="N109" s="2"/>
      <c r="O109">
        <v>108</v>
      </c>
      <c r="P109">
        <v>0</v>
      </c>
      <c r="Q109" t="s">
        <v>25</v>
      </c>
      <c r="R109">
        <f ca="1">DATEDIF(EMP_RAW_Data[[#This Row],[Hire Date]],IF(EMP_RAW_Data[[#This Row],[Exit Date]]="",TODAY(),EMP_RAW_Data[[#This Row],[Exit Date]]),"Y")</f>
        <v>30</v>
      </c>
      <c r="S109" t="str">
        <f>IF(EMP_RAW_Data[[#This Row],[Status]]=1,"Inactive","Active")</f>
        <v>Active</v>
      </c>
    </row>
    <row r="110" spans="1:19" hidden="1" x14ac:dyDescent="0.3">
      <c r="A110" s="1" t="s">
        <v>186</v>
      </c>
      <c r="B110" s="1" t="s">
        <v>61</v>
      </c>
      <c r="C110" s="1" t="s">
        <v>62</v>
      </c>
      <c r="D110" s="1" t="s">
        <v>28</v>
      </c>
      <c r="E110" s="1" t="s">
        <v>29</v>
      </c>
      <c r="F110">
        <v>36</v>
      </c>
      <c r="G110" t="s">
        <v>59</v>
      </c>
      <c r="H110" s="2">
        <v>42706</v>
      </c>
      <c r="I110">
        <v>113781</v>
      </c>
      <c r="J110">
        <v>0</v>
      </c>
      <c r="K110">
        <v>113781</v>
      </c>
      <c r="L110" s="1" t="s">
        <v>23</v>
      </c>
      <c r="M110" s="1" t="s">
        <v>74</v>
      </c>
      <c r="N110" s="2"/>
      <c r="O110">
        <v>109</v>
      </c>
      <c r="P110">
        <v>0</v>
      </c>
      <c r="Q110" t="s">
        <v>25</v>
      </c>
      <c r="R110">
        <f ca="1">DATEDIF(EMP_RAW_Data[[#This Row],[Hire Date]],IF(EMP_RAW_Data[[#This Row],[Exit Date]]="",TODAY(),EMP_RAW_Data[[#This Row],[Exit Date]]),"Y")</f>
        <v>9</v>
      </c>
      <c r="S110" t="str">
        <f>IF(EMP_RAW_Data[[#This Row],[Status]]=1,"Inactive","Active")</f>
        <v>Active</v>
      </c>
    </row>
    <row r="111" spans="1:19" hidden="1" x14ac:dyDescent="0.3">
      <c r="A111" s="1" t="s">
        <v>187</v>
      </c>
      <c r="B111" s="1" t="s">
        <v>33</v>
      </c>
      <c r="C111" s="1" t="s">
        <v>34</v>
      </c>
      <c r="D111" s="1" t="s">
        <v>20</v>
      </c>
      <c r="E111" s="1" t="s">
        <v>29</v>
      </c>
      <c r="F111">
        <v>42</v>
      </c>
      <c r="G111" t="s">
        <v>59</v>
      </c>
      <c r="H111" s="2">
        <v>37636</v>
      </c>
      <c r="I111">
        <v>166599</v>
      </c>
      <c r="J111">
        <v>0.26</v>
      </c>
      <c r="K111">
        <v>209914.74</v>
      </c>
      <c r="L111" s="1" t="s">
        <v>23</v>
      </c>
      <c r="M111" s="1" t="s">
        <v>24</v>
      </c>
      <c r="N111" s="2"/>
      <c r="O111">
        <v>110</v>
      </c>
      <c r="P111">
        <v>0</v>
      </c>
      <c r="Q111" t="s">
        <v>25</v>
      </c>
      <c r="R111">
        <f ca="1">DATEDIF(EMP_RAW_Data[[#This Row],[Hire Date]],IF(EMP_RAW_Data[[#This Row],[Exit Date]]="",TODAY(),EMP_RAW_Data[[#This Row],[Exit Date]]),"Y")</f>
        <v>23</v>
      </c>
      <c r="S111" t="str">
        <f>IF(EMP_RAW_Data[[#This Row],[Status]]=1,"Inactive","Active")</f>
        <v>Active</v>
      </c>
    </row>
    <row r="112" spans="1:19" hidden="1" x14ac:dyDescent="0.3">
      <c r="A112" s="1" t="s">
        <v>188</v>
      </c>
      <c r="B112" s="1" t="s">
        <v>189</v>
      </c>
      <c r="C112" s="1" t="s">
        <v>46</v>
      </c>
      <c r="D112" s="1" t="s">
        <v>47</v>
      </c>
      <c r="E112" s="1" t="s">
        <v>21</v>
      </c>
      <c r="F112">
        <v>41</v>
      </c>
      <c r="G112" t="s">
        <v>59</v>
      </c>
      <c r="H112" s="2">
        <v>38398</v>
      </c>
      <c r="I112">
        <v>95372</v>
      </c>
      <c r="J112">
        <v>0</v>
      </c>
      <c r="K112">
        <v>95372</v>
      </c>
      <c r="L112" s="1" t="s">
        <v>30</v>
      </c>
      <c r="M112" s="1" t="s">
        <v>65</v>
      </c>
      <c r="N112" s="2"/>
      <c r="O112">
        <v>111</v>
      </c>
      <c r="P112">
        <v>0</v>
      </c>
      <c r="Q112" t="s">
        <v>25</v>
      </c>
      <c r="R112">
        <f ca="1">DATEDIF(EMP_RAW_Data[[#This Row],[Hire Date]],IF(EMP_RAW_Data[[#This Row],[Exit Date]]="",TODAY(),EMP_RAW_Data[[#This Row],[Exit Date]]),"Y")</f>
        <v>21</v>
      </c>
      <c r="S112" t="str">
        <f>IF(EMP_RAW_Data[[#This Row],[Status]]=1,"Inactive","Active")</f>
        <v>Active</v>
      </c>
    </row>
    <row r="113" spans="1:19" hidden="1" x14ac:dyDescent="0.3">
      <c r="A113" s="1" t="s">
        <v>190</v>
      </c>
      <c r="B113" s="1" t="s">
        <v>33</v>
      </c>
      <c r="C113" s="1" t="s">
        <v>19</v>
      </c>
      <c r="D113" s="1" t="s">
        <v>20</v>
      </c>
      <c r="E113" s="1" t="s">
        <v>21</v>
      </c>
      <c r="F113">
        <v>29</v>
      </c>
      <c r="G113" t="s">
        <v>40</v>
      </c>
      <c r="H113" s="2">
        <v>44052</v>
      </c>
      <c r="I113">
        <v>161203</v>
      </c>
      <c r="J113">
        <v>0.15</v>
      </c>
      <c r="K113">
        <v>185383.45</v>
      </c>
      <c r="L113" s="1" t="s">
        <v>30</v>
      </c>
      <c r="M113" s="1" t="s">
        <v>102</v>
      </c>
      <c r="N113" s="2"/>
      <c r="O113">
        <v>112</v>
      </c>
      <c r="P113">
        <v>0</v>
      </c>
      <c r="Q113" t="s">
        <v>25</v>
      </c>
      <c r="R113">
        <f ca="1">DATEDIF(EMP_RAW_Data[[#This Row],[Hire Date]],IF(EMP_RAW_Data[[#This Row],[Exit Date]]="",TODAY(),EMP_RAW_Data[[#This Row],[Exit Date]]),"Y")</f>
        <v>5</v>
      </c>
      <c r="S113" t="str">
        <f>IF(EMP_RAW_Data[[#This Row],[Status]]=1,"Inactive","Active")</f>
        <v>Active</v>
      </c>
    </row>
    <row r="114" spans="1:19" hidden="1" x14ac:dyDescent="0.3">
      <c r="A114" s="1" t="s">
        <v>191</v>
      </c>
      <c r="B114" s="1" t="s">
        <v>192</v>
      </c>
      <c r="C114" s="1" t="s">
        <v>19</v>
      </c>
      <c r="D114" s="1" t="s">
        <v>28</v>
      </c>
      <c r="E114" s="1" t="s">
        <v>21</v>
      </c>
      <c r="F114">
        <v>44</v>
      </c>
      <c r="G114" t="s">
        <v>59</v>
      </c>
      <c r="H114" s="2">
        <v>39064</v>
      </c>
      <c r="I114">
        <v>74738</v>
      </c>
      <c r="J114">
        <v>0</v>
      </c>
      <c r="K114">
        <v>74738</v>
      </c>
      <c r="L114" s="1" t="s">
        <v>23</v>
      </c>
      <c r="M114" s="1" t="s">
        <v>52</v>
      </c>
      <c r="N114" s="2"/>
      <c r="O114">
        <v>113</v>
      </c>
      <c r="P114">
        <v>0</v>
      </c>
      <c r="Q114" t="s">
        <v>25</v>
      </c>
      <c r="R114">
        <f ca="1">DATEDIF(EMP_RAW_Data[[#This Row],[Hire Date]],IF(EMP_RAW_Data[[#This Row],[Exit Date]]="",TODAY(),EMP_RAW_Data[[#This Row],[Exit Date]]),"Y")</f>
        <v>19</v>
      </c>
      <c r="S114" t="str">
        <f>IF(EMP_RAW_Data[[#This Row],[Status]]=1,"Inactive","Active")</f>
        <v>Active</v>
      </c>
    </row>
    <row r="115" spans="1:19" hidden="1" x14ac:dyDescent="0.3">
      <c r="A115" s="1" t="s">
        <v>193</v>
      </c>
      <c r="B115" s="1" t="s">
        <v>33</v>
      </c>
      <c r="C115" s="1" t="s">
        <v>46</v>
      </c>
      <c r="D115" s="1" t="s">
        <v>20</v>
      </c>
      <c r="E115" s="1" t="s">
        <v>21</v>
      </c>
      <c r="F115">
        <v>41</v>
      </c>
      <c r="G115" t="s">
        <v>59</v>
      </c>
      <c r="H115" s="2">
        <v>43322</v>
      </c>
      <c r="I115">
        <v>171173</v>
      </c>
      <c r="J115">
        <v>0.21</v>
      </c>
      <c r="K115">
        <v>207119.33000000002</v>
      </c>
      <c r="L115" s="1" t="s">
        <v>23</v>
      </c>
      <c r="M115" s="1" t="s">
        <v>74</v>
      </c>
      <c r="N115" s="2"/>
      <c r="O115">
        <v>114</v>
      </c>
      <c r="P115">
        <v>0</v>
      </c>
      <c r="Q115" t="s">
        <v>25</v>
      </c>
      <c r="R115">
        <f ca="1">DATEDIF(EMP_RAW_Data[[#This Row],[Hire Date]],IF(EMP_RAW_Data[[#This Row],[Exit Date]]="",TODAY(),EMP_RAW_Data[[#This Row],[Exit Date]]),"Y")</f>
        <v>7</v>
      </c>
      <c r="S115" t="str">
        <f>IF(EMP_RAW_Data[[#This Row],[Status]]=1,"Inactive","Active")</f>
        <v>Active</v>
      </c>
    </row>
    <row r="116" spans="1:19" hidden="1" x14ac:dyDescent="0.3">
      <c r="A116" s="1" t="s">
        <v>194</v>
      </c>
      <c r="B116" s="1" t="s">
        <v>68</v>
      </c>
      <c r="C116" s="1" t="s">
        <v>46</v>
      </c>
      <c r="D116" s="1" t="s">
        <v>47</v>
      </c>
      <c r="E116" s="1" t="s">
        <v>29</v>
      </c>
      <c r="F116">
        <v>61</v>
      </c>
      <c r="G116" t="s">
        <v>22</v>
      </c>
      <c r="H116" s="2">
        <v>43732</v>
      </c>
      <c r="I116">
        <v>201464</v>
      </c>
      <c r="J116">
        <v>0.37</v>
      </c>
      <c r="K116">
        <v>276005.68</v>
      </c>
      <c r="L116" s="1" t="s">
        <v>23</v>
      </c>
      <c r="M116" s="1" t="s">
        <v>37</v>
      </c>
      <c r="N116" s="2"/>
      <c r="O116">
        <v>115</v>
      </c>
      <c r="P116">
        <v>0</v>
      </c>
      <c r="Q116" t="s">
        <v>25</v>
      </c>
      <c r="R116">
        <f ca="1">DATEDIF(EMP_RAW_Data[[#This Row],[Hire Date]],IF(EMP_RAW_Data[[#This Row],[Exit Date]]="",TODAY(),EMP_RAW_Data[[#This Row],[Exit Date]]),"Y")</f>
        <v>6</v>
      </c>
      <c r="S116" t="str">
        <f>IF(EMP_RAW_Data[[#This Row],[Status]]=1,"Inactive","Active")</f>
        <v>Active</v>
      </c>
    </row>
    <row r="117" spans="1:19" hidden="1" x14ac:dyDescent="0.3">
      <c r="A117" s="1" t="s">
        <v>195</v>
      </c>
      <c r="B117" s="1" t="s">
        <v>33</v>
      </c>
      <c r="C117" s="1" t="s">
        <v>58</v>
      </c>
      <c r="D117" s="1" t="s">
        <v>47</v>
      </c>
      <c r="E117" s="1" t="s">
        <v>29</v>
      </c>
      <c r="F117">
        <v>50</v>
      </c>
      <c r="G117" t="s">
        <v>36</v>
      </c>
      <c r="H117" s="2">
        <v>35998</v>
      </c>
      <c r="I117">
        <v>174895</v>
      </c>
      <c r="J117">
        <v>0.15</v>
      </c>
      <c r="K117">
        <v>201129.25</v>
      </c>
      <c r="L117" s="1" t="s">
        <v>23</v>
      </c>
      <c r="M117" s="1" t="s">
        <v>37</v>
      </c>
      <c r="N117" s="2"/>
      <c r="O117">
        <v>116</v>
      </c>
      <c r="P117">
        <v>0</v>
      </c>
      <c r="Q117" t="s">
        <v>25</v>
      </c>
      <c r="R117">
        <f ca="1">DATEDIF(EMP_RAW_Data[[#This Row],[Hire Date]],IF(EMP_RAW_Data[[#This Row],[Exit Date]]="",TODAY(),EMP_RAW_Data[[#This Row],[Exit Date]]),"Y")</f>
        <v>27</v>
      </c>
      <c r="S117" t="str">
        <f>IF(EMP_RAW_Data[[#This Row],[Status]]=1,"Inactive","Active")</f>
        <v>Active</v>
      </c>
    </row>
    <row r="118" spans="1:19" hidden="1" x14ac:dyDescent="0.3">
      <c r="A118" s="1" t="s">
        <v>196</v>
      </c>
      <c r="B118" s="1" t="s">
        <v>18</v>
      </c>
      <c r="C118" s="1" t="s">
        <v>19</v>
      </c>
      <c r="D118" s="1" t="s">
        <v>28</v>
      </c>
      <c r="E118" s="1" t="s">
        <v>21</v>
      </c>
      <c r="F118">
        <v>49</v>
      </c>
      <c r="G118" t="s">
        <v>36</v>
      </c>
      <c r="H118" s="2">
        <v>38825</v>
      </c>
      <c r="I118">
        <v>134486</v>
      </c>
      <c r="J118">
        <v>0.14000000000000001</v>
      </c>
      <c r="K118">
        <v>153314.04</v>
      </c>
      <c r="L118" s="1" t="s">
        <v>23</v>
      </c>
      <c r="M118" s="1" t="s">
        <v>55</v>
      </c>
      <c r="N118" s="2"/>
      <c r="O118">
        <v>117</v>
      </c>
      <c r="P118">
        <v>0</v>
      </c>
      <c r="Q118" t="s">
        <v>25</v>
      </c>
      <c r="R118">
        <f ca="1">DATEDIF(EMP_RAW_Data[[#This Row],[Hire Date]],IF(EMP_RAW_Data[[#This Row],[Exit Date]]="",TODAY(),EMP_RAW_Data[[#This Row],[Exit Date]]),"Y")</f>
        <v>19</v>
      </c>
      <c r="S118" t="str">
        <f>IF(EMP_RAW_Data[[#This Row],[Status]]=1,"Inactive","Active")</f>
        <v>Active</v>
      </c>
    </row>
    <row r="119" spans="1:19" hidden="1" x14ac:dyDescent="0.3">
      <c r="A119" s="1" t="s">
        <v>197</v>
      </c>
      <c r="B119" s="1" t="s">
        <v>42</v>
      </c>
      <c r="C119" s="1" t="s">
        <v>34</v>
      </c>
      <c r="D119" s="1" t="s">
        <v>28</v>
      </c>
      <c r="E119" s="1" t="s">
        <v>21</v>
      </c>
      <c r="F119">
        <v>60</v>
      </c>
      <c r="G119" t="s">
        <v>22</v>
      </c>
      <c r="H119" s="2">
        <v>39137</v>
      </c>
      <c r="I119">
        <v>71699</v>
      </c>
      <c r="J119">
        <v>0</v>
      </c>
      <c r="K119">
        <v>71699</v>
      </c>
      <c r="L119" s="1" t="s">
        <v>77</v>
      </c>
      <c r="M119" s="1" t="s">
        <v>78</v>
      </c>
      <c r="N119" s="2"/>
      <c r="O119">
        <v>118</v>
      </c>
      <c r="P119">
        <v>0</v>
      </c>
      <c r="Q119" t="s">
        <v>25</v>
      </c>
      <c r="R119">
        <f ca="1">DATEDIF(EMP_RAW_Data[[#This Row],[Hire Date]],IF(EMP_RAW_Data[[#This Row],[Exit Date]]="",TODAY(),EMP_RAW_Data[[#This Row],[Exit Date]]),"Y")</f>
        <v>19</v>
      </c>
      <c r="S119" t="str">
        <f>IF(EMP_RAW_Data[[#This Row],[Status]]=1,"Inactive","Active")</f>
        <v>Active</v>
      </c>
    </row>
    <row r="120" spans="1:19" hidden="1" x14ac:dyDescent="0.3">
      <c r="A120" s="1" t="s">
        <v>198</v>
      </c>
      <c r="B120" s="1" t="s">
        <v>42</v>
      </c>
      <c r="C120" s="1" t="s">
        <v>69</v>
      </c>
      <c r="D120" s="1" t="s">
        <v>47</v>
      </c>
      <c r="E120" s="1" t="s">
        <v>21</v>
      </c>
      <c r="F120">
        <v>42</v>
      </c>
      <c r="G120" t="s">
        <v>59</v>
      </c>
      <c r="H120" s="2">
        <v>44198</v>
      </c>
      <c r="I120">
        <v>94430</v>
      </c>
      <c r="J120">
        <v>0</v>
      </c>
      <c r="K120">
        <v>94430</v>
      </c>
      <c r="L120" s="1" t="s">
        <v>23</v>
      </c>
      <c r="M120" s="1" t="s">
        <v>24</v>
      </c>
      <c r="N120" s="2"/>
      <c r="O120">
        <v>119</v>
      </c>
      <c r="P120">
        <v>0</v>
      </c>
      <c r="Q120" t="s">
        <v>25</v>
      </c>
      <c r="R120">
        <f ca="1">DATEDIF(EMP_RAW_Data[[#This Row],[Hire Date]],IF(EMP_RAW_Data[[#This Row],[Exit Date]]="",TODAY(),EMP_RAW_Data[[#This Row],[Exit Date]]),"Y")</f>
        <v>5</v>
      </c>
      <c r="S120" t="str">
        <f>IF(EMP_RAW_Data[[#This Row],[Status]]=1,"Inactive","Active")</f>
        <v>Active</v>
      </c>
    </row>
    <row r="121" spans="1:19" hidden="1" x14ac:dyDescent="0.3">
      <c r="A121" s="1" t="s">
        <v>199</v>
      </c>
      <c r="B121" s="1" t="s">
        <v>49</v>
      </c>
      <c r="C121" s="1" t="s">
        <v>34</v>
      </c>
      <c r="D121" s="1" t="s">
        <v>47</v>
      </c>
      <c r="E121" s="1" t="s">
        <v>29</v>
      </c>
      <c r="F121">
        <v>39</v>
      </c>
      <c r="G121" t="s">
        <v>59</v>
      </c>
      <c r="H121" s="2">
        <v>40192</v>
      </c>
      <c r="I121">
        <v>103504</v>
      </c>
      <c r="J121">
        <v>7.0000000000000007E-2</v>
      </c>
      <c r="K121">
        <v>110749.28</v>
      </c>
      <c r="L121" s="1" t="s">
        <v>30</v>
      </c>
      <c r="M121" s="1" t="s">
        <v>102</v>
      </c>
      <c r="N121" s="2"/>
      <c r="O121">
        <v>120</v>
      </c>
      <c r="P121">
        <v>0</v>
      </c>
      <c r="Q121" t="s">
        <v>25</v>
      </c>
      <c r="R121">
        <f ca="1">DATEDIF(EMP_RAW_Data[[#This Row],[Hire Date]],IF(EMP_RAW_Data[[#This Row],[Exit Date]]="",TODAY(),EMP_RAW_Data[[#This Row],[Exit Date]]),"Y")</f>
        <v>16</v>
      </c>
      <c r="S121" t="str">
        <f>IF(EMP_RAW_Data[[#This Row],[Status]]=1,"Inactive","Active")</f>
        <v>Active</v>
      </c>
    </row>
    <row r="122" spans="1:19" hidden="1" x14ac:dyDescent="0.3">
      <c r="A122" s="1" t="s">
        <v>200</v>
      </c>
      <c r="B122" s="1" t="s">
        <v>100</v>
      </c>
      <c r="C122" s="1" t="s">
        <v>19</v>
      </c>
      <c r="D122" s="1" t="s">
        <v>28</v>
      </c>
      <c r="E122" s="1" t="s">
        <v>21</v>
      </c>
      <c r="F122">
        <v>55</v>
      </c>
      <c r="G122" t="s">
        <v>22</v>
      </c>
      <c r="H122" s="2">
        <v>38573</v>
      </c>
      <c r="I122">
        <v>92771</v>
      </c>
      <c r="J122">
        <v>0</v>
      </c>
      <c r="K122">
        <v>92771</v>
      </c>
      <c r="L122" s="1" t="s">
        <v>23</v>
      </c>
      <c r="M122" s="1" t="s">
        <v>52</v>
      </c>
      <c r="N122" s="2"/>
      <c r="O122">
        <v>121</v>
      </c>
      <c r="P122">
        <v>0</v>
      </c>
      <c r="Q122" t="s">
        <v>25</v>
      </c>
      <c r="R122">
        <f ca="1">DATEDIF(EMP_RAW_Data[[#This Row],[Hire Date]],IF(EMP_RAW_Data[[#This Row],[Exit Date]]="",TODAY(),EMP_RAW_Data[[#This Row],[Exit Date]]),"Y")</f>
        <v>20</v>
      </c>
      <c r="S122" t="str">
        <f>IF(EMP_RAW_Data[[#This Row],[Status]]=1,"Inactive","Active")</f>
        <v>Active</v>
      </c>
    </row>
    <row r="123" spans="1:19" hidden="1" x14ac:dyDescent="0.3">
      <c r="A123" s="1" t="s">
        <v>201</v>
      </c>
      <c r="B123" s="1" t="s">
        <v>96</v>
      </c>
      <c r="C123" s="1" t="s">
        <v>34</v>
      </c>
      <c r="D123" s="1" t="s">
        <v>35</v>
      </c>
      <c r="E123" s="1" t="s">
        <v>21</v>
      </c>
      <c r="F123">
        <v>39</v>
      </c>
      <c r="G123" t="s">
        <v>59</v>
      </c>
      <c r="H123" s="2">
        <v>38813</v>
      </c>
      <c r="I123">
        <v>71531</v>
      </c>
      <c r="J123">
        <v>0</v>
      </c>
      <c r="K123">
        <v>71531</v>
      </c>
      <c r="L123" s="1" t="s">
        <v>23</v>
      </c>
      <c r="M123" s="1" t="s">
        <v>74</v>
      </c>
      <c r="N123" s="2"/>
      <c r="O123">
        <v>122</v>
      </c>
      <c r="P123">
        <v>0</v>
      </c>
      <c r="Q123" t="s">
        <v>25</v>
      </c>
      <c r="R123">
        <f ca="1">DATEDIF(EMP_RAW_Data[[#This Row],[Hire Date]],IF(EMP_RAW_Data[[#This Row],[Exit Date]]="",TODAY(),EMP_RAW_Data[[#This Row],[Exit Date]]),"Y")</f>
        <v>19</v>
      </c>
      <c r="S123" t="str">
        <f>IF(EMP_RAW_Data[[#This Row],[Status]]=1,"Inactive","Active")</f>
        <v>Active</v>
      </c>
    </row>
    <row r="124" spans="1:19" hidden="1" x14ac:dyDescent="0.3">
      <c r="A124" s="1" t="s">
        <v>202</v>
      </c>
      <c r="B124" s="1" t="s">
        <v>142</v>
      </c>
      <c r="C124" s="1" t="s">
        <v>19</v>
      </c>
      <c r="D124" s="1" t="s">
        <v>35</v>
      </c>
      <c r="E124" s="1" t="s">
        <v>29</v>
      </c>
      <c r="F124">
        <v>28</v>
      </c>
      <c r="G124" t="s">
        <v>40</v>
      </c>
      <c r="H124" s="2">
        <v>43530</v>
      </c>
      <c r="I124">
        <v>90304</v>
      </c>
      <c r="J124">
        <v>0</v>
      </c>
      <c r="K124">
        <v>90304</v>
      </c>
      <c r="L124" s="1" t="s">
        <v>23</v>
      </c>
      <c r="M124" s="1" t="s">
        <v>37</v>
      </c>
      <c r="N124" s="2"/>
      <c r="O124">
        <v>123</v>
      </c>
      <c r="P124">
        <v>0</v>
      </c>
      <c r="Q124" t="s">
        <v>25</v>
      </c>
      <c r="R124">
        <f ca="1">DATEDIF(EMP_RAW_Data[[#This Row],[Hire Date]],IF(EMP_RAW_Data[[#This Row],[Exit Date]]="",TODAY(),EMP_RAW_Data[[#This Row],[Exit Date]]),"Y")</f>
        <v>7</v>
      </c>
      <c r="S124" t="str">
        <f>IF(EMP_RAW_Data[[#This Row],[Status]]=1,"Inactive","Active")</f>
        <v>Active</v>
      </c>
    </row>
    <row r="125" spans="1:19" hidden="1" x14ac:dyDescent="0.3">
      <c r="A125" s="1" t="s">
        <v>203</v>
      </c>
      <c r="B125" s="1" t="s">
        <v>49</v>
      </c>
      <c r="C125" s="1" t="s">
        <v>69</v>
      </c>
      <c r="D125" s="1" t="s">
        <v>28</v>
      </c>
      <c r="E125" s="1" t="s">
        <v>21</v>
      </c>
      <c r="F125">
        <v>65</v>
      </c>
      <c r="G125" t="s">
        <v>71</v>
      </c>
      <c r="H125" s="2">
        <v>40793</v>
      </c>
      <c r="I125">
        <v>104903</v>
      </c>
      <c r="J125">
        <v>0.1</v>
      </c>
      <c r="K125">
        <v>115393.3</v>
      </c>
      <c r="L125" s="1" t="s">
        <v>23</v>
      </c>
      <c r="M125" s="1" t="s">
        <v>74</v>
      </c>
      <c r="N125" s="2"/>
      <c r="O125">
        <v>124</v>
      </c>
      <c r="P125">
        <v>0</v>
      </c>
      <c r="Q125" t="s">
        <v>25</v>
      </c>
      <c r="R125">
        <f ca="1">DATEDIF(EMP_RAW_Data[[#This Row],[Hire Date]],IF(EMP_RAW_Data[[#This Row],[Exit Date]]="",TODAY(),EMP_RAW_Data[[#This Row],[Exit Date]]),"Y")</f>
        <v>14</v>
      </c>
      <c r="S125" t="str">
        <f>IF(EMP_RAW_Data[[#This Row],[Status]]=1,"Inactive","Active")</f>
        <v>Active</v>
      </c>
    </row>
    <row r="126" spans="1:19" hidden="1" x14ac:dyDescent="0.3">
      <c r="A126" s="1" t="s">
        <v>204</v>
      </c>
      <c r="B126" s="1" t="s">
        <v>51</v>
      </c>
      <c r="C126" s="1" t="s">
        <v>34</v>
      </c>
      <c r="D126" s="1" t="s">
        <v>47</v>
      </c>
      <c r="E126" s="1" t="s">
        <v>21</v>
      </c>
      <c r="F126">
        <v>52</v>
      </c>
      <c r="G126" t="s">
        <v>36</v>
      </c>
      <c r="H126" s="2">
        <v>43515</v>
      </c>
      <c r="I126">
        <v>55859</v>
      </c>
      <c r="J126">
        <v>0</v>
      </c>
      <c r="K126">
        <v>55859</v>
      </c>
      <c r="L126" s="1" t="s">
        <v>30</v>
      </c>
      <c r="M126" s="1" t="s">
        <v>90</v>
      </c>
      <c r="N126" s="2"/>
      <c r="O126">
        <v>125</v>
      </c>
      <c r="P126">
        <v>0</v>
      </c>
      <c r="Q126" t="s">
        <v>25</v>
      </c>
      <c r="R126">
        <f ca="1">DATEDIF(EMP_RAW_Data[[#This Row],[Hire Date]],IF(EMP_RAW_Data[[#This Row],[Exit Date]]="",TODAY(),EMP_RAW_Data[[#This Row],[Exit Date]]),"Y")</f>
        <v>7</v>
      </c>
      <c r="S126" t="str">
        <f>IF(EMP_RAW_Data[[#This Row],[Status]]=1,"Inactive","Active")</f>
        <v>Active</v>
      </c>
    </row>
    <row r="127" spans="1:19" hidden="1" x14ac:dyDescent="0.3">
      <c r="A127" s="1" t="s">
        <v>205</v>
      </c>
      <c r="B127" s="1" t="s">
        <v>128</v>
      </c>
      <c r="C127" s="1" t="s">
        <v>62</v>
      </c>
      <c r="D127" s="1" t="s">
        <v>47</v>
      </c>
      <c r="E127" s="1" t="s">
        <v>21</v>
      </c>
      <c r="F127">
        <v>62</v>
      </c>
      <c r="G127" t="s">
        <v>22</v>
      </c>
      <c r="H127" s="2">
        <v>39002</v>
      </c>
      <c r="I127">
        <v>79785</v>
      </c>
      <c r="J127">
        <v>0</v>
      </c>
      <c r="K127">
        <v>79785</v>
      </c>
      <c r="L127" s="1" t="s">
        <v>23</v>
      </c>
      <c r="M127" s="1" t="s">
        <v>55</v>
      </c>
      <c r="N127" s="2"/>
      <c r="O127">
        <v>126</v>
      </c>
      <c r="P127">
        <v>0</v>
      </c>
      <c r="Q127" t="s">
        <v>25</v>
      </c>
      <c r="R127">
        <f ca="1">DATEDIF(EMP_RAW_Data[[#This Row],[Hire Date]],IF(EMP_RAW_Data[[#This Row],[Exit Date]]="",TODAY(),EMP_RAW_Data[[#This Row],[Exit Date]]),"Y")</f>
        <v>19</v>
      </c>
      <c r="S127" t="str">
        <f>IF(EMP_RAW_Data[[#This Row],[Status]]=1,"Inactive","Active")</f>
        <v>Active</v>
      </c>
    </row>
    <row r="128" spans="1:19" hidden="1" x14ac:dyDescent="0.3">
      <c r="A128" s="1" t="s">
        <v>206</v>
      </c>
      <c r="B128" s="1" t="s">
        <v>42</v>
      </c>
      <c r="C128" s="1" t="s">
        <v>69</v>
      </c>
      <c r="D128" s="1" t="s">
        <v>47</v>
      </c>
      <c r="E128" s="1" t="s">
        <v>21</v>
      </c>
      <c r="F128">
        <v>39</v>
      </c>
      <c r="G128" t="s">
        <v>59</v>
      </c>
      <c r="H128" s="2">
        <v>39391</v>
      </c>
      <c r="I128">
        <v>99017</v>
      </c>
      <c r="J128">
        <v>0</v>
      </c>
      <c r="K128">
        <v>99017</v>
      </c>
      <c r="L128" s="1" t="s">
        <v>30</v>
      </c>
      <c r="M128" s="1" t="s">
        <v>90</v>
      </c>
      <c r="N128" s="2"/>
      <c r="O128">
        <v>127</v>
      </c>
      <c r="P128">
        <v>0</v>
      </c>
      <c r="Q128" t="s">
        <v>25</v>
      </c>
      <c r="R128">
        <f ca="1">DATEDIF(EMP_RAW_Data[[#This Row],[Hire Date]],IF(EMP_RAW_Data[[#This Row],[Exit Date]]="",TODAY(),EMP_RAW_Data[[#This Row],[Exit Date]]),"Y")</f>
        <v>18</v>
      </c>
      <c r="S128" t="str">
        <f>IF(EMP_RAW_Data[[#This Row],[Status]]=1,"Inactive","Active")</f>
        <v>Active</v>
      </c>
    </row>
    <row r="129" spans="1:19" hidden="1" x14ac:dyDescent="0.3">
      <c r="A129" s="1" t="s">
        <v>207</v>
      </c>
      <c r="B129" s="1" t="s">
        <v>208</v>
      </c>
      <c r="C129" s="1" t="s">
        <v>19</v>
      </c>
      <c r="D129" s="1" t="s">
        <v>28</v>
      </c>
      <c r="E129" s="1" t="s">
        <v>21</v>
      </c>
      <c r="F129">
        <v>63</v>
      </c>
      <c r="G129" t="s">
        <v>22</v>
      </c>
      <c r="H129" s="2">
        <v>33695</v>
      </c>
      <c r="I129">
        <v>53809</v>
      </c>
      <c r="J129">
        <v>0</v>
      </c>
      <c r="K129">
        <v>53809</v>
      </c>
      <c r="L129" s="1" t="s">
        <v>23</v>
      </c>
      <c r="M129" s="1" t="s">
        <v>43</v>
      </c>
      <c r="N129" s="2"/>
      <c r="O129">
        <v>128</v>
      </c>
      <c r="P129">
        <v>0</v>
      </c>
      <c r="Q129" t="s">
        <v>25</v>
      </c>
      <c r="R129">
        <f ca="1">DATEDIF(EMP_RAW_Data[[#This Row],[Hire Date]],IF(EMP_RAW_Data[[#This Row],[Exit Date]]="",TODAY(),EMP_RAW_Data[[#This Row],[Exit Date]]),"Y")</f>
        <v>33</v>
      </c>
      <c r="S129" t="str">
        <f>IF(EMP_RAW_Data[[#This Row],[Status]]=1,"Inactive","Active")</f>
        <v>Active</v>
      </c>
    </row>
    <row r="130" spans="1:19" hidden="1" x14ac:dyDescent="0.3">
      <c r="A130" s="1" t="s">
        <v>209</v>
      </c>
      <c r="B130" s="1" t="s">
        <v>124</v>
      </c>
      <c r="C130" s="1" t="s">
        <v>62</v>
      </c>
      <c r="D130" s="1" t="s">
        <v>35</v>
      </c>
      <c r="E130" s="1" t="s">
        <v>29</v>
      </c>
      <c r="F130">
        <v>27</v>
      </c>
      <c r="G130" t="s">
        <v>40</v>
      </c>
      <c r="H130" s="2">
        <v>43937</v>
      </c>
      <c r="I130">
        <v>71864</v>
      </c>
      <c r="J130">
        <v>0</v>
      </c>
      <c r="K130">
        <v>71864</v>
      </c>
      <c r="L130" s="1" t="s">
        <v>30</v>
      </c>
      <c r="M130" s="1" t="s">
        <v>102</v>
      </c>
      <c r="N130" s="2"/>
      <c r="O130">
        <v>129</v>
      </c>
      <c r="P130">
        <v>0</v>
      </c>
      <c r="Q130" t="s">
        <v>25</v>
      </c>
      <c r="R130">
        <f ca="1">DATEDIF(EMP_RAW_Data[[#This Row],[Hire Date]],IF(EMP_RAW_Data[[#This Row],[Exit Date]]="",TODAY(),EMP_RAW_Data[[#This Row],[Exit Date]]),"Y")</f>
        <v>5</v>
      </c>
      <c r="S130" t="str">
        <f>IF(EMP_RAW_Data[[#This Row],[Status]]=1,"Inactive","Active")</f>
        <v>Active</v>
      </c>
    </row>
    <row r="131" spans="1:19" hidden="1" x14ac:dyDescent="0.3">
      <c r="A131" s="1" t="s">
        <v>210</v>
      </c>
      <c r="B131" s="1" t="s">
        <v>68</v>
      </c>
      <c r="C131" s="1" t="s">
        <v>34</v>
      </c>
      <c r="D131" s="1" t="s">
        <v>47</v>
      </c>
      <c r="E131" s="1" t="s">
        <v>21</v>
      </c>
      <c r="F131">
        <v>37</v>
      </c>
      <c r="G131" t="s">
        <v>59</v>
      </c>
      <c r="H131" s="2">
        <v>40883</v>
      </c>
      <c r="I131">
        <v>225558</v>
      </c>
      <c r="J131">
        <v>0.33</v>
      </c>
      <c r="K131">
        <v>299992.14</v>
      </c>
      <c r="L131" s="1" t="s">
        <v>30</v>
      </c>
      <c r="M131" s="1" t="s">
        <v>65</v>
      </c>
      <c r="N131" s="2"/>
      <c r="O131">
        <v>130</v>
      </c>
      <c r="P131">
        <v>0</v>
      </c>
      <c r="Q131" t="s">
        <v>25</v>
      </c>
      <c r="R131">
        <f ca="1">DATEDIF(EMP_RAW_Data[[#This Row],[Hire Date]],IF(EMP_RAW_Data[[#This Row],[Exit Date]]="",TODAY(),EMP_RAW_Data[[#This Row],[Exit Date]]),"Y")</f>
        <v>14</v>
      </c>
      <c r="S131" t="str">
        <f>IF(EMP_RAW_Data[[#This Row],[Status]]=1,"Inactive","Active")</f>
        <v>Active</v>
      </c>
    </row>
    <row r="132" spans="1:19" x14ac:dyDescent="0.3">
      <c r="A132" s="1" t="s">
        <v>211</v>
      </c>
      <c r="B132" s="1" t="s">
        <v>18</v>
      </c>
      <c r="C132" s="1" t="s">
        <v>19</v>
      </c>
      <c r="D132" s="1" t="s">
        <v>28</v>
      </c>
      <c r="E132" s="1" t="s">
        <v>29</v>
      </c>
      <c r="F132">
        <v>37</v>
      </c>
      <c r="G132" t="s">
        <v>59</v>
      </c>
      <c r="H132" s="2">
        <v>41695</v>
      </c>
      <c r="I132">
        <v>128984</v>
      </c>
      <c r="J132">
        <v>0.12</v>
      </c>
      <c r="K132">
        <v>144462.07999999999</v>
      </c>
      <c r="L132" s="1" t="s">
        <v>23</v>
      </c>
      <c r="M132" s="1" t="s">
        <v>52</v>
      </c>
      <c r="N132" s="2">
        <v>44317</v>
      </c>
      <c r="O132">
        <v>131</v>
      </c>
      <c r="P132">
        <v>1</v>
      </c>
      <c r="Q132" t="s">
        <v>25</v>
      </c>
      <c r="R132">
        <f ca="1">DATEDIF(EMP_RAW_Data[[#This Row],[Hire Date]],IF(EMP_RAW_Data[[#This Row],[Exit Date]]="",TODAY(),EMP_RAW_Data[[#This Row],[Exit Date]]),"Y")</f>
        <v>7</v>
      </c>
      <c r="S132" t="str">
        <f>IF(EMP_RAW_Data[[#This Row],[Status]]=1,"Inactive","Active")</f>
        <v>Inactive</v>
      </c>
    </row>
    <row r="133" spans="1:19" hidden="1" x14ac:dyDescent="0.3">
      <c r="A133" s="1" t="s">
        <v>212</v>
      </c>
      <c r="B133" s="1" t="s">
        <v>124</v>
      </c>
      <c r="C133" s="1" t="s">
        <v>62</v>
      </c>
      <c r="D133" s="1" t="s">
        <v>35</v>
      </c>
      <c r="E133" s="1" t="s">
        <v>29</v>
      </c>
      <c r="F133">
        <v>46</v>
      </c>
      <c r="G133" t="s">
        <v>36</v>
      </c>
      <c r="H133" s="2">
        <v>36331</v>
      </c>
      <c r="I133">
        <v>96997</v>
      </c>
      <c r="J133">
        <v>0</v>
      </c>
      <c r="K133">
        <v>96997</v>
      </c>
      <c r="L133" s="1" t="s">
        <v>77</v>
      </c>
      <c r="M133" s="1" t="s">
        <v>148</v>
      </c>
      <c r="N133" s="2"/>
      <c r="O133">
        <v>132</v>
      </c>
      <c r="P133">
        <v>0</v>
      </c>
      <c r="Q133" t="s">
        <v>25</v>
      </c>
      <c r="R133">
        <f ca="1">DATEDIF(EMP_RAW_Data[[#This Row],[Hire Date]],IF(EMP_RAW_Data[[#This Row],[Exit Date]]="",TODAY(),EMP_RAW_Data[[#This Row],[Exit Date]]),"Y")</f>
        <v>26</v>
      </c>
      <c r="S133" t="str">
        <f>IF(EMP_RAW_Data[[#This Row],[Status]]=1,"Inactive","Active")</f>
        <v>Active</v>
      </c>
    </row>
    <row r="134" spans="1:19" hidden="1" x14ac:dyDescent="0.3">
      <c r="A134" s="1" t="s">
        <v>213</v>
      </c>
      <c r="B134" s="1" t="s">
        <v>33</v>
      </c>
      <c r="C134" s="1" t="s">
        <v>58</v>
      </c>
      <c r="D134" s="1" t="s">
        <v>28</v>
      </c>
      <c r="E134" s="1" t="s">
        <v>21</v>
      </c>
      <c r="F134">
        <v>54</v>
      </c>
      <c r="G134" t="s">
        <v>36</v>
      </c>
      <c r="H134" s="2">
        <v>43122</v>
      </c>
      <c r="I134">
        <v>176294</v>
      </c>
      <c r="J134">
        <v>0.28000000000000003</v>
      </c>
      <c r="K134">
        <v>225656.32000000001</v>
      </c>
      <c r="L134" s="1" t="s">
        <v>23</v>
      </c>
      <c r="M134" s="1" t="s">
        <v>55</v>
      </c>
      <c r="N134" s="2"/>
      <c r="O134">
        <v>133</v>
      </c>
      <c r="P134">
        <v>0</v>
      </c>
      <c r="Q134" t="s">
        <v>25</v>
      </c>
      <c r="R134">
        <f ca="1">DATEDIF(EMP_RAW_Data[[#This Row],[Hire Date]],IF(EMP_RAW_Data[[#This Row],[Exit Date]]="",TODAY(),EMP_RAW_Data[[#This Row],[Exit Date]]),"Y")</f>
        <v>8</v>
      </c>
      <c r="S134" t="str">
        <f>IF(EMP_RAW_Data[[#This Row],[Status]]=1,"Inactive","Active")</f>
        <v>Active</v>
      </c>
    </row>
    <row r="135" spans="1:19" hidden="1" x14ac:dyDescent="0.3">
      <c r="A135" s="1" t="s">
        <v>214</v>
      </c>
      <c r="B135" s="1" t="s">
        <v>51</v>
      </c>
      <c r="C135" s="1" t="s">
        <v>46</v>
      </c>
      <c r="D135" s="1" t="s">
        <v>20</v>
      </c>
      <c r="E135" s="1" t="s">
        <v>21</v>
      </c>
      <c r="F135">
        <v>30</v>
      </c>
      <c r="G135" t="s">
        <v>40</v>
      </c>
      <c r="H135" s="2">
        <v>44241</v>
      </c>
      <c r="I135">
        <v>48340</v>
      </c>
      <c r="J135">
        <v>0</v>
      </c>
      <c r="K135">
        <v>48340</v>
      </c>
      <c r="L135" s="1" t="s">
        <v>30</v>
      </c>
      <c r="M135" s="1" t="s">
        <v>90</v>
      </c>
      <c r="N135" s="2"/>
      <c r="O135">
        <v>134</v>
      </c>
      <c r="P135">
        <v>0</v>
      </c>
      <c r="Q135" t="s">
        <v>25</v>
      </c>
      <c r="R135">
        <f ca="1">DATEDIF(EMP_RAW_Data[[#This Row],[Hire Date]],IF(EMP_RAW_Data[[#This Row],[Exit Date]]="",TODAY(),EMP_RAW_Data[[#This Row],[Exit Date]]),"Y")</f>
        <v>5</v>
      </c>
      <c r="S135" t="str">
        <f>IF(EMP_RAW_Data[[#This Row],[Status]]=1,"Inactive","Active")</f>
        <v>Active</v>
      </c>
    </row>
    <row r="136" spans="1:19" hidden="1" x14ac:dyDescent="0.3">
      <c r="A136" s="1" t="s">
        <v>215</v>
      </c>
      <c r="B136" s="1" t="s">
        <v>68</v>
      </c>
      <c r="C136" s="1" t="s">
        <v>62</v>
      </c>
      <c r="D136" s="1" t="s">
        <v>47</v>
      </c>
      <c r="E136" s="1" t="s">
        <v>21</v>
      </c>
      <c r="F136">
        <v>28</v>
      </c>
      <c r="G136" t="s">
        <v>40</v>
      </c>
      <c r="H136" s="2">
        <v>42922</v>
      </c>
      <c r="I136">
        <v>240488</v>
      </c>
      <c r="J136">
        <v>0.4</v>
      </c>
      <c r="K136">
        <v>336683.2</v>
      </c>
      <c r="L136" s="1" t="s">
        <v>77</v>
      </c>
      <c r="M136" s="1" t="s">
        <v>81</v>
      </c>
      <c r="N136" s="2"/>
      <c r="O136">
        <v>135</v>
      </c>
      <c r="P136">
        <v>0</v>
      </c>
      <c r="Q136" t="s">
        <v>25</v>
      </c>
      <c r="R136">
        <f ca="1">DATEDIF(EMP_RAW_Data[[#This Row],[Hire Date]],IF(EMP_RAW_Data[[#This Row],[Exit Date]]="",TODAY(),EMP_RAW_Data[[#This Row],[Exit Date]]),"Y")</f>
        <v>8</v>
      </c>
      <c r="S136" t="str">
        <f>IF(EMP_RAW_Data[[#This Row],[Status]]=1,"Inactive","Active")</f>
        <v>Active</v>
      </c>
    </row>
    <row r="137" spans="1:19" hidden="1" x14ac:dyDescent="0.3">
      <c r="A137" s="1" t="s">
        <v>216</v>
      </c>
      <c r="B137" s="1" t="s">
        <v>100</v>
      </c>
      <c r="C137" s="1" t="s">
        <v>19</v>
      </c>
      <c r="D137" s="1" t="s">
        <v>28</v>
      </c>
      <c r="E137" s="1" t="s">
        <v>29</v>
      </c>
      <c r="F137">
        <v>40</v>
      </c>
      <c r="G137" t="s">
        <v>59</v>
      </c>
      <c r="H137" s="2">
        <v>40565</v>
      </c>
      <c r="I137">
        <v>97339</v>
      </c>
      <c r="J137">
        <v>0</v>
      </c>
      <c r="K137">
        <v>97339</v>
      </c>
      <c r="L137" s="1" t="s">
        <v>23</v>
      </c>
      <c r="M137" s="1" t="s">
        <v>55</v>
      </c>
      <c r="N137" s="2"/>
      <c r="O137">
        <v>136</v>
      </c>
      <c r="P137">
        <v>0</v>
      </c>
      <c r="Q137" t="s">
        <v>25</v>
      </c>
      <c r="R137">
        <f ca="1">DATEDIF(EMP_RAW_Data[[#This Row],[Hire Date]],IF(EMP_RAW_Data[[#This Row],[Exit Date]]="",TODAY(),EMP_RAW_Data[[#This Row],[Exit Date]]),"Y")</f>
        <v>15</v>
      </c>
      <c r="S137" t="str">
        <f>IF(EMP_RAW_Data[[#This Row],[Status]]=1,"Inactive","Active")</f>
        <v>Active</v>
      </c>
    </row>
    <row r="138" spans="1:19" hidden="1" x14ac:dyDescent="0.3">
      <c r="A138" s="1" t="s">
        <v>217</v>
      </c>
      <c r="B138" s="1" t="s">
        <v>68</v>
      </c>
      <c r="C138" s="1" t="s">
        <v>58</v>
      </c>
      <c r="D138" s="1" t="s">
        <v>28</v>
      </c>
      <c r="E138" s="1" t="s">
        <v>21</v>
      </c>
      <c r="F138">
        <v>49</v>
      </c>
      <c r="G138" t="s">
        <v>36</v>
      </c>
      <c r="H138" s="2">
        <v>37680</v>
      </c>
      <c r="I138">
        <v>211291</v>
      </c>
      <c r="J138">
        <v>0.37</v>
      </c>
      <c r="K138">
        <v>289468.67</v>
      </c>
      <c r="L138" s="1" t="s">
        <v>30</v>
      </c>
      <c r="M138" s="1" t="s">
        <v>31</v>
      </c>
      <c r="N138" s="2"/>
      <c r="O138">
        <v>137</v>
      </c>
      <c r="P138">
        <v>0</v>
      </c>
      <c r="Q138" t="s">
        <v>25</v>
      </c>
      <c r="R138">
        <f ca="1">DATEDIF(EMP_RAW_Data[[#This Row],[Hire Date]],IF(EMP_RAW_Data[[#This Row],[Exit Date]]="",TODAY(),EMP_RAW_Data[[#This Row],[Exit Date]]),"Y")</f>
        <v>23</v>
      </c>
      <c r="S138" t="str">
        <f>IF(EMP_RAW_Data[[#This Row],[Status]]=1,"Inactive","Active")</f>
        <v>Active</v>
      </c>
    </row>
    <row r="139" spans="1:19" hidden="1" x14ac:dyDescent="0.3">
      <c r="A139" s="1" t="s">
        <v>218</v>
      </c>
      <c r="B139" s="1" t="s">
        <v>68</v>
      </c>
      <c r="C139" s="1" t="s">
        <v>46</v>
      </c>
      <c r="D139" s="1" t="s">
        <v>20</v>
      </c>
      <c r="E139" s="1" t="s">
        <v>29</v>
      </c>
      <c r="F139">
        <v>39</v>
      </c>
      <c r="G139" t="s">
        <v>59</v>
      </c>
      <c r="H139" s="2">
        <v>40778</v>
      </c>
      <c r="I139">
        <v>249506</v>
      </c>
      <c r="J139">
        <v>0.3</v>
      </c>
      <c r="K139">
        <v>324357.8</v>
      </c>
      <c r="L139" s="1" t="s">
        <v>77</v>
      </c>
      <c r="M139" s="1" t="s">
        <v>81</v>
      </c>
      <c r="N139" s="2"/>
      <c r="O139">
        <v>138</v>
      </c>
      <c r="P139">
        <v>0</v>
      </c>
      <c r="Q139" t="s">
        <v>25</v>
      </c>
      <c r="R139">
        <f ca="1">DATEDIF(EMP_RAW_Data[[#This Row],[Hire Date]],IF(EMP_RAW_Data[[#This Row],[Exit Date]]="",TODAY(),EMP_RAW_Data[[#This Row],[Exit Date]]),"Y")</f>
        <v>14</v>
      </c>
      <c r="S139" t="str">
        <f>IF(EMP_RAW_Data[[#This Row],[Status]]=1,"Inactive","Active")</f>
        <v>Active</v>
      </c>
    </row>
    <row r="140" spans="1:19" hidden="1" x14ac:dyDescent="0.3">
      <c r="A140" s="1" t="s">
        <v>219</v>
      </c>
      <c r="B140" s="1" t="s">
        <v>86</v>
      </c>
      <c r="C140" s="1" t="s">
        <v>62</v>
      </c>
      <c r="D140" s="1" t="s">
        <v>35</v>
      </c>
      <c r="E140" s="1" t="s">
        <v>29</v>
      </c>
      <c r="F140">
        <v>61</v>
      </c>
      <c r="G140" t="s">
        <v>22</v>
      </c>
      <c r="H140" s="2">
        <v>37582</v>
      </c>
      <c r="I140">
        <v>80950</v>
      </c>
      <c r="J140">
        <v>0</v>
      </c>
      <c r="K140">
        <v>80950</v>
      </c>
      <c r="L140" s="1" t="s">
        <v>30</v>
      </c>
      <c r="M140" s="1" t="s">
        <v>31</v>
      </c>
      <c r="N140" s="2"/>
      <c r="O140">
        <v>139</v>
      </c>
      <c r="P140">
        <v>0</v>
      </c>
      <c r="Q140" t="s">
        <v>25</v>
      </c>
      <c r="R140">
        <f ca="1">DATEDIF(EMP_RAW_Data[[#This Row],[Hire Date]],IF(EMP_RAW_Data[[#This Row],[Exit Date]]="",TODAY(),EMP_RAW_Data[[#This Row],[Exit Date]]),"Y")</f>
        <v>23</v>
      </c>
      <c r="S140" t="str">
        <f>IF(EMP_RAW_Data[[#This Row],[Status]]=1,"Inactive","Active")</f>
        <v>Active</v>
      </c>
    </row>
    <row r="141" spans="1:19" hidden="1" x14ac:dyDescent="0.3">
      <c r="A141" s="1" t="s">
        <v>220</v>
      </c>
      <c r="B141" s="1" t="s">
        <v>126</v>
      </c>
      <c r="C141" s="1" t="s">
        <v>62</v>
      </c>
      <c r="D141" s="1" t="s">
        <v>20</v>
      </c>
      <c r="E141" s="1" t="s">
        <v>21</v>
      </c>
      <c r="F141">
        <v>46</v>
      </c>
      <c r="G141" t="s">
        <v>36</v>
      </c>
      <c r="H141" s="2">
        <v>44206</v>
      </c>
      <c r="I141">
        <v>86538</v>
      </c>
      <c r="J141">
        <v>0</v>
      </c>
      <c r="K141">
        <v>86538</v>
      </c>
      <c r="L141" s="1" t="s">
        <v>30</v>
      </c>
      <c r="M141" s="1" t="s">
        <v>102</v>
      </c>
      <c r="N141" s="2"/>
      <c r="O141">
        <v>140</v>
      </c>
      <c r="P141">
        <v>0</v>
      </c>
      <c r="Q141" t="s">
        <v>25</v>
      </c>
      <c r="R141">
        <f ca="1">DATEDIF(EMP_RAW_Data[[#This Row],[Hire Date]],IF(EMP_RAW_Data[[#This Row],[Exit Date]]="",TODAY(),EMP_RAW_Data[[#This Row],[Exit Date]]),"Y")</f>
        <v>5</v>
      </c>
      <c r="S141" t="str">
        <f>IF(EMP_RAW_Data[[#This Row],[Status]]=1,"Inactive","Active")</f>
        <v>Active</v>
      </c>
    </row>
    <row r="142" spans="1:19" hidden="1" x14ac:dyDescent="0.3">
      <c r="A142" s="1" t="s">
        <v>221</v>
      </c>
      <c r="B142" s="1" t="s">
        <v>42</v>
      </c>
      <c r="C142" s="1" t="s">
        <v>69</v>
      </c>
      <c r="D142" s="1" t="s">
        <v>35</v>
      </c>
      <c r="E142" s="1" t="s">
        <v>21</v>
      </c>
      <c r="F142">
        <v>35</v>
      </c>
      <c r="G142" t="s">
        <v>59</v>
      </c>
      <c r="H142" s="2">
        <v>43715</v>
      </c>
      <c r="I142">
        <v>70992</v>
      </c>
      <c r="J142">
        <v>0</v>
      </c>
      <c r="K142">
        <v>70992</v>
      </c>
      <c r="L142" s="1" t="s">
        <v>23</v>
      </c>
      <c r="M142" s="1" t="s">
        <v>55</v>
      </c>
      <c r="N142" s="2"/>
      <c r="O142">
        <v>141</v>
      </c>
      <c r="P142">
        <v>0</v>
      </c>
      <c r="Q142" t="s">
        <v>25</v>
      </c>
      <c r="R142">
        <f ca="1">DATEDIF(EMP_RAW_Data[[#This Row],[Hire Date]],IF(EMP_RAW_Data[[#This Row],[Exit Date]]="",TODAY(),EMP_RAW_Data[[#This Row],[Exit Date]]),"Y")</f>
        <v>6</v>
      </c>
      <c r="S142" t="str">
        <f>IF(EMP_RAW_Data[[#This Row],[Status]]=1,"Inactive","Active")</f>
        <v>Active</v>
      </c>
    </row>
    <row r="143" spans="1:19" hidden="1" x14ac:dyDescent="0.3">
      <c r="A143" s="1" t="s">
        <v>222</v>
      </c>
      <c r="B143" s="1" t="s">
        <v>68</v>
      </c>
      <c r="C143" s="1" t="s">
        <v>62</v>
      </c>
      <c r="D143" s="1" t="s">
        <v>47</v>
      </c>
      <c r="E143" s="1" t="s">
        <v>29</v>
      </c>
      <c r="F143">
        <v>33</v>
      </c>
      <c r="G143" t="s">
        <v>40</v>
      </c>
      <c r="H143" s="2">
        <v>42173</v>
      </c>
      <c r="I143">
        <v>205314</v>
      </c>
      <c r="J143">
        <v>0.3</v>
      </c>
      <c r="K143">
        <v>266908.2</v>
      </c>
      <c r="L143" s="1" t="s">
        <v>23</v>
      </c>
      <c r="M143" s="1" t="s">
        <v>74</v>
      </c>
      <c r="N143" s="2"/>
      <c r="O143">
        <v>142</v>
      </c>
      <c r="P143">
        <v>0</v>
      </c>
      <c r="Q143" t="s">
        <v>25</v>
      </c>
      <c r="R143">
        <f ca="1">DATEDIF(EMP_RAW_Data[[#This Row],[Hire Date]],IF(EMP_RAW_Data[[#This Row],[Exit Date]]="",TODAY(),EMP_RAW_Data[[#This Row],[Exit Date]]),"Y")</f>
        <v>10</v>
      </c>
      <c r="S143" t="str">
        <f>IF(EMP_RAW_Data[[#This Row],[Status]]=1,"Inactive","Active")</f>
        <v>Active</v>
      </c>
    </row>
    <row r="144" spans="1:19" hidden="1" x14ac:dyDescent="0.3">
      <c r="A144" s="1" t="s">
        <v>223</v>
      </c>
      <c r="B144" s="1" t="s">
        <v>68</v>
      </c>
      <c r="C144" s="1" t="s">
        <v>58</v>
      </c>
      <c r="D144" s="1" t="s">
        <v>47</v>
      </c>
      <c r="E144" s="1" t="s">
        <v>21</v>
      </c>
      <c r="F144">
        <v>61</v>
      </c>
      <c r="G144" t="s">
        <v>22</v>
      </c>
      <c r="H144" s="2">
        <v>42804</v>
      </c>
      <c r="I144">
        <v>196951</v>
      </c>
      <c r="J144">
        <v>0.33</v>
      </c>
      <c r="K144">
        <v>261944.83000000002</v>
      </c>
      <c r="L144" s="1" t="s">
        <v>30</v>
      </c>
      <c r="M144" s="1" t="s">
        <v>90</v>
      </c>
      <c r="N144" s="2"/>
      <c r="O144">
        <v>143</v>
      </c>
      <c r="P144">
        <v>0</v>
      </c>
      <c r="Q144" t="s">
        <v>25</v>
      </c>
      <c r="R144">
        <f ca="1">DATEDIF(EMP_RAW_Data[[#This Row],[Hire Date]],IF(EMP_RAW_Data[[#This Row],[Exit Date]]="",TODAY(),EMP_RAW_Data[[#This Row],[Exit Date]]),"Y")</f>
        <v>9</v>
      </c>
      <c r="S144" t="str">
        <f>IF(EMP_RAW_Data[[#This Row],[Status]]=1,"Inactive","Active")</f>
        <v>Active</v>
      </c>
    </row>
    <row r="145" spans="1:19" hidden="1" x14ac:dyDescent="0.3">
      <c r="A145" s="1" t="s">
        <v>224</v>
      </c>
      <c r="B145" s="1" t="s">
        <v>166</v>
      </c>
      <c r="C145" s="1" t="s">
        <v>19</v>
      </c>
      <c r="D145" s="1" t="s">
        <v>35</v>
      </c>
      <c r="E145" s="1" t="s">
        <v>29</v>
      </c>
      <c r="F145">
        <v>45</v>
      </c>
      <c r="G145" t="s">
        <v>36</v>
      </c>
      <c r="H145" s="2">
        <v>38613</v>
      </c>
      <c r="I145">
        <v>67686</v>
      </c>
      <c r="J145">
        <v>0</v>
      </c>
      <c r="K145">
        <v>67686</v>
      </c>
      <c r="L145" s="1" t="s">
        <v>30</v>
      </c>
      <c r="M145" s="1" t="s">
        <v>90</v>
      </c>
      <c r="N145" s="2"/>
      <c r="O145">
        <v>144</v>
      </c>
      <c r="P145">
        <v>0</v>
      </c>
      <c r="Q145" t="s">
        <v>25</v>
      </c>
      <c r="R145">
        <f ca="1">DATEDIF(EMP_RAW_Data[[#This Row],[Hire Date]],IF(EMP_RAW_Data[[#This Row],[Exit Date]]="",TODAY(),EMP_RAW_Data[[#This Row],[Exit Date]]),"Y")</f>
        <v>20</v>
      </c>
      <c r="S145" t="str">
        <f>IF(EMP_RAW_Data[[#This Row],[Status]]=1,"Inactive","Active")</f>
        <v>Active</v>
      </c>
    </row>
    <row r="146" spans="1:19" hidden="1" x14ac:dyDescent="0.3">
      <c r="A146" s="1" t="s">
        <v>225</v>
      </c>
      <c r="B146" s="1" t="s">
        <v>27</v>
      </c>
      <c r="C146" s="1" t="s">
        <v>19</v>
      </c>
      <c r="D146" s="1" t="s">
        <v>20</v>
      </c>
      <c r="E146" s="1" t="s">
        <v>29</v>
      </c>
      <c r="F146">
        <v>51</v>
      </c>
      <c r="G146" t="s">
        <v>36</v>
      </c>
      <c r="H146" s="2">
        <v>39553</v>
      </c>
      <c r="I146">
        <v>86431</v>
      </c>
      <c r="J146">
        <v>0</v>
      </c>
      <c r="K146">
        <v>86431</v>
      </c>
      <c r="L146" s="1" t="s">
        <v>23</v>
      </c>
      <c r="M146" s="1" t="s">
        <v>74</v>
      </c>
      <c r="N146" s="2"/>
      <c r="O146">
        <v>145</v>
      </c>
      <c r="P146">
        <v>0</v>
      </c>
      <c r="Q146" t="s">
        <v>25</v>
      </c>
      <c r="R146">
        <f ca="1">DATEDIF(EMP_RAW_Data[[#This Row],[Hire Date]],IF(EMP_RAW_Data[[#This Row],[Exit Date]]="",TODAY(),EMP_RAW_Data[[#This Row],[Exit Date]]),"Y")</f>
        <v>17</v>
      </c>
      <c r="S146" t="str">
        <f>IF(EMP_RAW_Data[[#This Row],[Status]]=1,"Inactive","Active")</f>
        <v>Active</v>
      </c>
    </row>
    <row r="147" spans="1:19" hidden="1" x14ac:dyDescent="0.3">
      <c r="A147" s="1" t="s">
        <v>226</v>
      </c>
      <c r="B147" s="1" t="s">
        <v>49</v>
      </c>
      <c r="C147" s="1" t="s">
        <v>58</v>
      </c>
      <c r="D147" s="1" t="s">
        <v>28</v>
      </c>
      <c r="E147" s="1" t="s">
        <v>29</v>
      </c>
      <c r="F147">
        <v>55</v>
      </c>
      <c r="G147" t="s">
        <v>22</v>
      </c>
      <c r="H147" s="2">
        <v>35019</v>
      </c>
      <c r="I147">
        <v>125936</v>
      </c>
      <c r="J147">
        <v>0.08</v>
      </c>
      <c r="K147">
        <v>136010.88</v>
      </c>
      <c r="L147" s="1" t="s">
        <v>30</v>
      </c>
      <c r="M147" s="1" t="s">
        <v>31</v>
      </c>
      <c r="N147" s="2"/>
      <c r="O147">
        <v>146</v>
      </c>
      <c r="P147">
        <v>0</v>
      </c>
      <c r="Q147" t="s">
        <v>25</v>
      </c>
      <c r="R147">
        <f ca="1">DATEDIF(EMP_RAW_Data[[#This Row],[Hire Date]],IF(EMP_RAW_Data[[#This Row],[Exit Date]]="",TODAY(),EMP_RAW_Data[[#This Row],[Exit Date]]),"Y")</f>
        <v>30</v>
      </c>
      <c r="S147" t="str">
        <f>IF(EMP_RAW_Data[[#This Row],[Status]]=1,"Inactive","Active")</f>
        <v>Active</v>
      </c>
    </row>
    <row r="148" spans="1:19" hidden="1" x14ac:dyDescent="0.3">
      <c r="A148" s="1" t="s">
        <v>227</v>
      </c>
      <c r="B148" s="1" t="s">
        <v>18</v>
      </c>
      <c r="C148" s="1" t="s">
        <v>46</v>
      </c>
      <c r="D148" s="1" t="s">
        <v>47</v>
      </c>
      <c r="E148" s="1" t="s">
        <v>21</v>
      </c>
      <c r="F148">
        <v>46</v>
      </c>
      <c r="G148" t="s">
        <v>36</v>
      </c>
      <c r="H148" s="2">
        <v>41473</v>
      </c>
      <c r="I148">
        <v>149712</v>
      </c>
      <c r="J148">
        <v>0.14000000000000001</v>
      </c>
      <c r="K148">
        <v>170671.68</v>
      </c>
      <c r="L148" s="1" t="s">
        <v>23</v>
      </c>
      <c r="M148" s="1" t="s">
        <v>74</v>
      </c>
      <c r="N148" s="2"/>
      <c r="O148">
        <v>147</v>
      </c>
      <c r="P148">
        <v>0</v>
      </c>
      <c r="Q148" t="s">
        <v>25</v>
      </c>
      <c r="R148">
        <f ca="1">DATEDIF(EMP_RAW_Data[[#This Row],[Hire Date]],IF(EMP_RAW_Data[[#This Row],[Exit Date]]="",TODAY(),EMP_RAW_Data[[#This Row],[Exit Date]]),"Y")</f>
        <v>12</v>
      </c>
      <c r="S148" t="str">
        <f>IF(EMP_RAW_Data[[#This Row],[Status]]=1,"Inactive","Active")</f>
        <v>Active</v>
      </c>
    </row>
    <row r="149" spans="1:19" hidden="1" x14ac:dyDescent="0.3">
      <c r="A149" s="1" t="s">
        <v>228</v>
      </c>
      <c r="B149" s="1" t="s">
        <v>124</v>
      </c>
      <c r="C149" s="1" t="s">
        <v>62</v>
      </c>
      <c r="D149" s="1" t="s">
        <v>35</v>
      </c>
      <c r="E149" s="1" t="s">
        <v>29</v>
      </c>
      <c r="F149">
        <v>30</v>
      </c>
      <c r="G149" t="s">
        <v>40</v>
      </c>
      <c r="H149" s="2">
        <v>44471</v>
      </c>
      <c r="I149">
        <v>88758</v>
      </c>
      <c r="J149">
        <v>0</v>
      </c>
      <c r="K149">
        <v>88758</v>
      </c>
      <c r="L149" s="1" t="s">
        <v>23</v>
      </c>
      <c r="M149" s="1" t="s">
        <v>24</v>
      </c>
      <c r="N149" s="2"/>
      <c r="O149">
        <v>148</v>
      </c>
      <c r="P149">
        <v>0</v>
      </c>
      <c r="Q149" t="s">
        <v>25</v>
      </c>
      <c r="R149">
        <f ca="1">DATEDIF(EMP_RAW_Data[[#This Row],[Hire Date]],IF(EMP_RAW_Data[[#This Row],[Exit Date]]="",TODAY(),EMP_RAW_Data[[#This Row],[Exit Date]]),"Y")</f>
        <v>4</v>
      </c>
      <c r="S149" t="str">
        <f>IF(EMP_RAW_Data[[#This Row],[Status]]=1,"Inactive","Active")</f>
        <v>Active</v>
      </c>
    </row>
    <row r="150" spans="1:19" hidden="1" x14ac:dyDescent="0.3">
      <c r="A150" s="1" t="s">
        <v>229</v>
      </c>
      <c r="B150" s="1" t="s">
        <v>230</v>
      </c>
      <c r="C150" s="1" t="s">
        <v>19</v>
      </c>
      <c r="D150" s="1" t="s">
        <v>20</v>
      </c>
      <c r="E150" s="1" t="s">
        <v>29</v>
      </c>
      <c r="F150">
        <v>54</v>
      </c>
      <c r="G150" t="s">
        <v>36</v>
      </c>
      <c r="H150" s="2">
        <v>41468</v>
      </c>
      <c r="I150">
        <v>83639</v>
      </c>
      <c r="J150">
        <v>0</v>
      </c>
      <c r="K150">
        <v>83639</v>
      </c>
      <c r="L150" s="1" t="s">
        <v>30</v>
      </c>
      <c r="M150" s="1" t="s">
        <v>90</v>
      </c>
      <c r="N150" s="2"/>
      <c r="O150">
        <v>149</v>
      </c>
      <c r="P150">
        <v>0</v>
      </c>
      <c r="Q150" t="s">
        <v>25</v>
      </c>
      <c r="R150">
        <f ca="1">DATEDIF(EMP_RAW_Data[[#This Row],[Hire Date]],IF(EMP_RAW_Data[[#This Row],[Exit Date]]="",TODAY(),EMP_RAW_Data[[#This Row],[Exit Date]]),"Y")</f>
        <v>12</v>
      </c>
      <c r="S150" t="str">
        <f>IF(EMP_RAW_Data[[#This Row],[Status]]=1,"Inactive","Active")</f>
        <v>Active</v>
      </c>
    </row>
    <row r="151" spans="1:19" hidden="1" x14ac:dyDescent="0.3">
      <c r="A151" s="1" t="s">
        <v>231</v>
      </c>
      <c r="B151" s="1" t="s">
        <v>164</v>
      </c>
      <c r="C151" s="1" t="s">
        <v>19</v>
      </c>
      <c r="D151" s="1" t="s">
        <v>20</v>
      </c>
      <c r="E151" s="1" t="s">
        <v>21</v>
      </c>
      <c r="F151">
        <v>54</v>
      </c>
      <c r="G151" t="s">
        <v>36</v>
      </c>
      <c r="H151" s="2">
        <v>35933</v>
      </c>
      <c r="I151">
        <v>68268</v>
      </c>
      <c r="J151">
        <v>0</v>
      </c>
      <c r="K151">
        <v>68268</v>
      </c>
      <c r="L151" s="1" t="s">
        <v>23</v>
      </c>
      <c r="M151" s="1" t="s">
        <v>43</v>
      </c>
      <c r="N151" s="2"/>
      <c r="O151">
        <v>150</v>
      </c>
      <c r="P151">
        <v>0</v>
      </c>
      <c r="Q151" t="s">
        <v>25</v>
      </c>
      <c r="R151">
        <f ca="1">DATEDIF(EMP_RAW_Data[[#This Row],[Hire Date]],IF(EMP_RAW_Data[[#This Row],[Exit Date]]="",TODAY(),EMP_RAW_Data[[#This Row],[Exit Date]]),"Y")</f>
        <v>27</v>
      </c>
      <c r="S151" t="str">
        <f>IF(EMP_RAW_Data[[#This Row],[Status]]=1,"Inactive","Active")</f>
        <v>Active</v>
      </c>
    </row>
    <row r="152" spans="1:19" hidden="1" x14ac:dyDescent="0.3">
      <c r="A152" s="1" t="s">
        <v>232</v>
      </c>
      <c r="B152" s="1" t="s">
        <v>124</v>
      </c>
      <c r="C152" s="1" t="s">
        <v>62</v>
      </c>
      <c r="D152" s="1" t="s">
        <v>28</v>
      </c>
      <c r="E152" s="1" t="s">
        <v>29</v>
      </c>
      <c r="F152">
        <v>45</v>
      </c>
      <c r="G152" t="s">
        <v>36</v>
      </c>
      <c r="H152" s="2">
        <v>37313</v>
      </c>
      <c r="I152">
        <v>75819</v>
      </c>
      <c r="J152">
        <v>0</v>
      </c>
      <c r="K152">
        <v>75819</v>
      </c>
      <c r="L152" s="1" t="s">
        <v>77</v>
      </c>
      <c r="M152" s="1" t="s">
        <v>148</v>
      </c>
      <c r="N152" s="2"/>
      <c r="O152">
        <v>151</v>
      </c>
      <c r="P152">
        <v>0</v>
      </c>
      <c r="Q152" t="s">
        <v>25</v>
      </c>
      <c r="R152">
        <f ca="1">DATEDIF(EMP_RAW_Data[[#This Row],[Hire Date]],IF(EMP_RAW_Data[[#This Row],[Exit Date]]="",TODAY(),EMP_RAW_Data[[#This Row],[Exit Date]]),"Y")</f>
        <v>24</v>
      </c>
      <c r="S152" t="str">
        <f>IF(EMP_RAW_Data[[#This Row],[Status]]=1,"Inactive","Active")</f>
        <v>Active</v>
      </c>
    </row>
    <row r="153" spans="1:19" hidden="1" x14ac:dyDescent="0.3">
      <c r="A153" s="1" t="s">
        <v>233</v>
      </c>
      <c r="B153" s="1" t="s">
        <v>42</v>
      </c>
      <c r="C153" s="1" t="s">
        <v>46</v>
      </c>
      <c r="D153" s="1" t="s">
        <v>35</v>
      </c>
      <c r="E153" s="1" t="s">
        <v>21</v>
      </c>
      <c r="F153">
        <v>49</v>
      </c>
      <c r="G153" t="s">
        <v>36</v>
      </c>
      <c r="H153" s="2">
        <v>35200</v>
      </c>
      <c r="I153">
        <v>86658</v>
      </c>
      <c r="J153">
        <v>0</v>
      </c>
      <c r="K153">
        <v>86658</v>
      </c>
      <c r="L153" s="1" t="s">
        <v>23</v>
      </c>
      <c r="M153" s="1" t="s">
        <v>43</v>
      </c>
      <c r="N153" s="2"/>
      <c r="O153">
        <v>152</v>
      </c>
      <c r="P153">
        <v>0</v>
      </c>
      <c r="Q153" t="s">
        <v>25</v>
      </c>
      <c r="R153">
        <f ca="1">DATEDIF(EMP_RAW_Data[[#This Row],[Hire Date]],IF(EMP_RAW_Data[[#This Row],[Exit Date]]="",TODAY(),EMP_RAW_Data[[#This Row],[Exit Date]]),"Y")</f>
        <v>29</v>
      </c>
      <c r="S153" t="str">
        <f>IF(EMP_RAW_Data[[#This Row],[Status]]=1,"Inactive","Active")</f>
        <v>Active</v>
      </c>
    </row>
    <row r="154" spans="1:19" hidden="1" x14ac:dyDescent="0.3">
      <c r="A154" s="1" t="s">
        <v>234</v>
      </c>
      <c r="B154" s="1" t="s">
        <v>96</v>
      </c>
      <c r="C154" s="1" t="s">
        <v>34</v>
      </c>
      <c r="D154" s="1" t="s">
        <v>20</v>
      </c>
      <c r="E154" s="1" t="s">
        <v>29</v>
      </c>
      <c r="F154">
        <v>55</v>
      </c>
      <c r="G154" t="s">
        <v>22</v>
      </c>
      <c r="H154" s="2">
        <v>41714</v>
      </c>
      <c r="I154">
        <v>74552</v>
      </c>
      <c r="J154">
        <v>0</v>
      </c>
      <c r="K154">
        <v>74552</v>
      </c>
      <c r="L154" s="1" t="s">
        <v>30</v>
      </c>
      <c r="M154" s="1" t="s">
        <v>102</v>
      </c>
      <c r="N154" s="2"/>
      <c r="O154">
        <v>153</v>
      </c>
      <c r="P154">
        <v>0</v>
      </c>
      <c r="Q154" t="s">
        <v>25</v>
      </c>
      <c r="R154">
        <f ca="1">DATEDIF(EMP_RAW_Data[[#This Row],[Hire Date]],IF(EMP_RAW_Data[[#This Row],[Exit Date]]="",TODAY(),EMP_RAW_Data[[#This Row],[Exit Date]]),"Y")</f>
        <v>12</v>
      </c>
      <c r="S154" t="str">
        <f>IF(EMP_RAW_Data[[#This Row],[Status]]=1,"Inactive","Active")</f>
        <v>Active</v>
      </c>
    </row>
    <row r="155" spans="1:19" hidden="1" x14ac:dyDescent="0.3">
      <c r="A155" s="1" t="s">
        <v>235</v>
      </c>
      <c r="B155" s="1" t="s">
        <v>100</v>
      </c>
      <c r="C155" s="1" t="s">
        <v>19</v>
      </c>
      <c r="D155" s="1" t="s">
        <v>28</v>
      </c>
      <c r="E155" s="1" t="s">
        <v>21</v>
      </c>
      <c r="F155">
        <v>62</v>
      </c>
      <c r="G155" t="s">
        <v>22</v>
      </c>
      <c r="H155" s="2">
        <v>39887</v>
      </c>
      <c r="I155">
        <v>82839</v>
      </c>
      <c r="J155">
        <v>0</v>
      </c>
      <c r="K155">
        <v>82839</v>
      </c>
      <c r="L155" s="1" t="s">
        <v>23</v>
      </c>
      <c r="M155" s="1" t="s">
        <v>52</v>
      </c>
      <c r="N155" s="2"/>
      <c r="O155">
        <v>154</v>
      </c>
      <c r="P155">
        <v>0</v>
      </c>
      <c r="Q155" t="s">
        <v>25</v>
      </c>
      <c r="R155">
        <f ca="1">DATEDIF(EMP_RAW_Data[[#This Row],[Hire Date]],IF(EMP_RAW_Data[[#This Row],[Exit Date]]="",TODAY(),EMP_RAW_Data[[#This Row],[Exit Date]]),"Y")</f>
        <v>17</v>
      </c>
      <c r="S155" t="str">
        <f>IF(EMP_RAW_Data[[#This Row],[Status]]=1,"Inactive","Active")</f>
        <v>Active</v>
      </c>
    </row>
    <row r="156" spans="1:19" hidden="1" x14ac:dyDescent="0.3">
      <c r="A156" s="1" t="s">
        <v>236</v>
      </c>
      <c r="B156" s="1" t="s">
        <v>164</v>
      </c>
      <c r="C156" s="1" t="s">
        <v>19</v>
      </c>
      <c r="D156" s="1" t="s">
        <v>35</v>
      </c>
      <c r="E156" s="1" t="s">
        <v>21</v>
      </c>
      <c r="F156">
        <v>28</v>
      </c>
      <c r="G156" t="s">
        <v>40</v>
      </c>
      <c r="H156" s="2">
        <v>44477</v>
      </c>
      <c r="I156">
        <v>64475</v>
      </c>
      <c r="J156">
        <v>0</v>
      </c>
      <c r="K156">
        <v>64475</v>
      </c>
      <c r="L156" s="1" t="s">
        <v>23</v>
      </c>
      <c r="M156" s="1" t="s">
        <v>43</v>
      </c>
      <c r="N156" s="2"/>
      <c r="O156">
        <v>155</v>
      </c>
      <c r="P156">
        <v>0</v>
      </c>
      <c r="Q156" t="s">
        <v>25</v>
      </c>
      <c r="R156">
        <f ca="1">DATEDIF(EMP_RAW_Data[[#This Row],[Hire Date]],IF(EMP_RAW_Data[[#This Row],[Exit Date]]="",TODAY(),EMP_RAW_Data[[#This Row],[Exit Date]]),"Y")</f>
        <v>4</v>
      </c>
      <c r="S156" t="str">
        <f>IF(EMP_RAW_Data[[#This Row],[Status]]=1,"Inactive","Active")</f>
        <v>Active</v>
      </c>
    </row>
    <row r="157" spans="1:19" hidden="1" x14ac:dyDescent="0.3">
      <c r="A157" s="1" t="s">
        <v>237</v>
      </c>
      <c r="B157" s="1" t="s">
        <v>164</v>
      </c>
      <c r="C157" s="1" t="s">
        <v>19</v>
      </c>
      <c r="D157" s="1" t="s">
        <v>28</v>
      </c>
      <c r="E157" s="1" t="s">
        <v>29</v>
      </c>
      <c r="F157">
        <v>33</v>
      </c>
      <c r="G157" t="s">
        <v>40</v>
      </c>
      <c r="H157" s="2">
        <v>44036</v>
      </c>
      <c r="I157">
        <v>69453</v>
      </c>
      <c r="J157">
        <v>0</v>
      </c>
      <c r="K157">
        <v>69453</v>
      </c>
      <c r="L157" s="1" t="s">
        <v>30</v>
      </c>
      <c r="M157" s="1" t="s">
        <v>102</v>
      </c>
      <c r="N157" s="2"/>
      <c r="O157">
        <v>156</v>
      </c>
      <c r="P157">
        <v>0</v>
      </c>
      <c r="Q157" t="s">
        <v>25</v>
      </c>
      <c r="R157">
        <f ca="1">DATEDIF(EMP_RAW_Data[[#This Row],[Hire Date]],IF(EMP_RAW_Data[[#This Row],[Exit Date]]="",TODAY(),EMP_RAW_Data[[#This Row],[Exit Date]]),"Y")</f>
        <v>5</v>
      </c>
      <c r="S157" t="str">
        <f>IF(EMP_RAW_Data[[#This Row],[Status]]=1,"Inactive","Active")</f>
        <v>Active</v>
      </c>
    </row>
    <row r="158" spans="1:19" hidden="1" x14ac:dyDescent="0.3">
      <c r="A158" s="1" t="s">
        <v>238</v>
      </c>
      <c r="B158" s="1" t="s">
        <v>49</v>
      </c>
      <c r="C158" s="1" t="s">
        <v>19</v>
      </c>
      <c r="D158" s="1" t="s">
        <v>47</v>
      </c>
      <c r="E158" s="1" t="s">
        <v>29</v>
      </c>
      <c r="F158">
        <v>32</v>
      </c>
      <c r="G158" t="s">
        <v>40</v>
      </c>
      <c r="H158" s="2">
        <v>41642</v>
      </c>
      <c r="I158">
        <v>127148</v>
      </c>
      <c r="J158">
        <v>0.1</v>
      </c>
      <c r="K158">
        <v>139862.79999999999</v>
      </c>
      <c r="L158" s="1" t="s">
        <v>23</v>
      </c>
      <c r="M158" s="1" t="s">
        <v>52</v>
      </c>
      <c r="N158" s="2"/>
      <c r="O158">
        <v>157</v>
      </c>
      <c r="P158">
        <v>0</v>
      </c>
      <c r="Q158" t="s">
        <v>25</v>
      </c>
      <c r="R158">
        <f ca="1">DATEDIF(EMP_RAW_Data[[#This Row],[Hire Date]],IF(EMP_RAW_Data[[#This Row],[Exit Date]]="",TODAY(),EMP_RAW_Data[[#This Row],[Exit Date]]),"Y")</f>
        <v>12</v>
      </c>
      <c r="S158" t="str">
        <f>IF(EMP_RAW_Data[[#This Row],[Status]]=1,"Inactive","Active")</f>
        <v>Active</v>
      </c>
    </row>
    <row r="159" spans="1:19" hidden="1" x14ac:dyDescent="0.3">
      <c r="A159" s="1" t="s">
        <v>239</v>
      </c>
      <c r="B159" s="1" t="s">
        <v>68</v>
      </c>
      <c r="C159" s="1" t="s">
        <v>34</v>
      </c>
      <c r="D159" s="1" t="s">
        <v>35</v>
      </c>
      <c r="E159" s="1" t="s">
        <v>21</v>
      </c>
      <c r="F159">
        <v>32</v>
      </c>
      <c r="G159" t="s">
        <v>40</v>
      </c>
      <c r="H159" s="2">
        <v>43102</v>
      </c>
      <c r="I159">
        <v>190253</v>
      </c>
      <c r="J159">
        <v>0.33</v>
      </c>
      <c r="K159">
        <v>253036.49</v>
      </c>
      <c r="L159" s="1" t="s">
        <v>23</v>
      </c>
      <c r="M159" s="1" t="s">
        <v>55</v>
      </c>
      <c r="N159" s="2"/>
      <c r="O159">
        <v>158</v>
      </c>
      <c r="P159">
        <v>0</v>
      </c>
      <c r="Q159" t="s">
        <v>25</v>
      </c>
      <c r="R159">
        <f ca="1">DATEDIF(EMP_RAW_Data[[#This Row],[Hire Date]],IF(EMP_RAW_Data[[#This Row],[Exit Date]]="",TODAY(),EMP_RAW_Data[[#This Row],[Exit Date]]),"Y")</f>
        <v>8</v>
      </c>
      <c r="S159" t="str">
        <f>IF(EMP_RAW_Data[[#This Row],[Status]]=1,"Inactive","Active")</f>
        <v>Active</v>
      </c>
    </row>
    <row r="160" spans="1:19" hidden="1" x14ac:dyDescent="0.3">
      <c r="A160" s="1" t="s">
        <v>240</v>
      </c>
      <c r="B160" s="1" t="s">
        <v>49</v>
      </c>
      <c r="C160" s="1" t="s">
        <v>54</v>
      </c>
      <c r="D160" s="1" t="s">
        <v>20</v>
      </c>
      <c r="E160" s="1" t="s">
        <v>29</v>
      </c>
      <c r="F160">
        <v>55</v>
      </c>
      <c r="G160" t="s">
        <v>22</v>
      </c>
      <c r="H160" s="2">
        <v>36644</v>
      </c>
      <c r="I160">
        <v>115798</v>
      </c>
      <c r="J160">
        <v>0.05</v>
      </c>
      <c r="K160">
        <v>121587.9</v>
      </c>
      <c r="L160" s="1" t="s">
        <v>23</v>
      </c>
      <c r="M160" s="1" t="s">
        <v>52</v>
      </c>
      <c r="N160" s="2"/>
      <c r="O160">
        <v>159</v>
      </c>
      <c r="P160">
        <v>0</v>
      </c>
      <c r="Q160" t="s">
        <v>25</v>
      </c>
      <c r="R160">
        <f ca="1">DATEDIF(EMP_RAW_Data[[#This Row],[Hire Date]],IF(EMP_RAW_Data[[#This Row],[Exit Date]]="",TODAY(),EMP_RAW_Data[[#This Row],[Exit Date]]),"Y")</f>
        <v>25</v>
      </c>
      <c r="S160" t="str">
        <f>IF(EMP_RAW_Data[[#This Row],[Status]]=1,"Inactive","Active")</f>
        <v>Active</v>
      </c>
    </row>
    <row r="161" spans="1:19" x14ac:dyDescent="0.3">
      <c r="A161" s="1" t="s">
        <v>241</v>
      </c>
      <c r="B161" s="1" t="s">
        <v>107</v>
      </c>
      <c r="C161" s="1" t="s">
        <v>58</v>
      </c>
      <c r="D161" s="1" t="s">
        <v>20</v>
      </c>
      <c r="E161" s="1" t="s">
        <v>21</v>
      </c>
      <c r="F161">
        <v>58</v>
      </c>
      <c r="G161" t="s">
        <v>22</v>
      </c>
      <c r="H161" s="2">
        <v>34567</v>
      </c>
      <c r="I161">
        <v>93102</v>
      </c>
      <c r="J161">
        <v>0</v>
      </c>
      <c r="K161">
        <v>93102</v>
      </c>
      <c r="L161" s="1" t="s">
        <v>23</v>
      </c>
      <c r="M161" s="1" t="s">
        <v>24</v>
      </c>
      <c r="N161" s="2">
        <v>41621</v>
      </c>
      <c r="O161">
        <v>160</v>
      </c>
      <c r="P161">
        <v>1</v>
      </c>
      <c r="Q161" t="s">
        <v>25</v>
      </c>
      <c r="R161">
        <f ca="1">DATEDIF(EMP_RAW_Data[[#This Row],[Hire Date]],IF(EMP_RAW_Data[[#This Row],[Exit Date]]="",TODAY(),EMP_RAW_Data[[#This Row],[Exit Date]]),"Y")</f>
        <v>19</v>
      </c>
      <c r="S161" t="str">
        <f>IF(EMP_RAW_Data[[#This Row],[Status]]=1,"Inactive","Active")</f>
        <v>Inactive</v>
      </c>
    </row>
    <row r="162" spans="1:19" hidden="1" x14ac:dyDescent="0.3">
      <c r="A162" s="1" t="s">
        <v>242</v>
      </c>
      <c r="B162" s="1" t="s">
        <v>89</v>
      </c>
      <c r="C162" s="1" t="s">
        <v>62</v>
      </c>
      <c r="D162" s="1" t="s">
        <v>35</v>
      </c>
      <c r="E162" s="1" t="s">
        <v>29</v>
      </c>
      <c r="F162">
        <v>34</v>
      </c>
      <c r="G162" t="s">
        <v>40</v>
      </c>
      <c r="H162" s="2">
        <v>43055</v>
      </c>
      <c r="I162">
        <v>110054</v>
      </c>
      <c r="J162">
        <v>0.15</v>
      </c>
      <c r="K162">
        <v>126562.1</v>
      </c>
      <c r="L162" s="1" t="s">
        <v>23</v>
      </c>
      <c r="M162" s="1" t="s">
        <v>52</v>
      </c>
      <c r="N162" s="2"/>
      <c r="O162">
        <v>161</v>
      </c>
      <c r="P162">
        <v>0</v>
      </c>
      <c r="Q162" t="s">
        <v>25</v>
      </c>
      <c r="R162">
        <f ca="1">DATEDIF(EMP_RAW_Data[[#This Row],[Hire Date]],IF(EMP_RAW_Data[[#This Row],[Exit Date]]="",TODAY(),EMP_RAW_Data[[#This Row],[Exit Date]]),"Y")</f>
        <v>8</v>
      </c>
      <c r="S162" t="str">
        <f>IF(EMP_RAW_Data[[#This Row],[Status]]=1,"Inactive","Active")</f>
        <v>Active</v>
      </c>
    </row>
    <row r="163" spans="1:19" hidden="1" x14ac:dyDescent="0.3">
      <c r="A163" s="1" t="s">
        <v>243</v>
      </c>
      <c r="B163" s="1" t="s">
        <v>86</v>
      </c>
      <c r="C163" s="1" t="s">
        <v>62</v>
      </c>
      <c r="D163" s="1" t="s">
        <v>20</v>
      </c>
      <c r="E163" s="1" t="s">
        <v>21</v>
      </c>
      <c r="F163">
        <v>27</v>
      </c>
      <c r="G163" t="s">
        <v>40</v>
      </c>
      <c r="H163" s="2">
        <v>44224</v>
      </c>
      <c r="I163">
        <v>95786</v>
      </c>
      <c r="J163">
        <v>0</v>
      </c>
      <c r="K163">
        <v>95786</v>
      </c>
      <c r="L163" s="1" t="s">
        <v>23</v>
      </c>
      <c r="M163" s="1" t="s">
        <v>37</v>
      </c>
      <c r="N163" s="2"/>
      <c r="O163">
        <v>162</v>
      </c>
      <c r="P163">
        <v>0</v>
      </c>
      <c r="Q163" t="s">
        <v>25</v>
      </c>
      <c r="R163">
        <f ca="1">DATEDIF(EMP_RAW_Data[[#This Row],[Hire Date]],IF(EMP_RAW_Data[[#This Row],[Exit Date]]="",TODAY(),EMP_RAW_Data[[#This Row],[Exit Date]]),"Y")</f>
        <v>5</v>
      </c>
      <c r="S163" t="str">
        <f>IF(EMP_RAW_Data[[#This Row],[Status]]=1,"Inactive","Active")</f>
        <v>Active</v>
      </c>
    </row>
    <row r="164" spans="1:19" hidden="1" x14ac:dyDescent="0.3">
      <c r="A164" s="1" t="s">
        <v>244</v>
      </c>
      <c r="B164" s="1" t="s">
        <v>42</v>
      </c>
      <c r="C164" s="1" t="s">
        <v>46</v>
      </c>
      <c r="D164" s="1" t="s">
        <v>35</v>
      </c>
      <c r="E164" s="1" t="s">
        <v>29</v>
      </c>
      <c r="F164">
        <v>61</v>
      </c>
      <c r="G164" t="s">
        <v>22</v>
      </c>
      <c r="H164" s="2">
        <v>42858</v>
      </c>
      <c r="I164">
        <v>90855</v>
      </c>
      <c r="J164">
        <v>0</v>
      </c>
      <c r="K164">
        <v>90855</v>
      </c>
      <c r="L164" s="1" t="s">
        <v>77</v>
      </c>
      <c r="M164" s="1" t="s">
        <v>148</v>
      </c>
      <c r="N164" s="2"/>
      <c r="O164">
        <v>163</v>
      </c>
      <c r="P164">
        <v>0</v>
      </c>
      <c r="Q164" t="s">
        <v>25</v>
      </c>
      <c r="R164">
        <f ca="1">DATEDIF(EMP_RAW_Data[[#This Row],[Hire Date]],IF(EMP_RAW_Data[[#This Row],[Exit Date]]="",TODAY(),EMP_RAW_Data[[#This Row],[Exit Date]]),"Y")</f>
        <v>8</v>
      </c>
      <c r="S164" t="str">
        <f>IF(EMP_RAW_Data[[#This Row],[Status]]=1,"Inactive","Active")</f>
        <v>Active</v>
      </c>
    </row>
    <row r="165" spans="1:19" hidden="1" x14ac:dyDescent="0.3">
      <c r="A165" s="1" t="s">
        <v>245</v>
      </c>
      <c r="B165" s="1" t="s">
        <v>100</v>
      </c>
      <c r="C165" s="1" t="s">
        <v>19</v>
      </c>
      <c r="D165" s="1" t="s">
        <v>28</v>
      </c>
      <c r="E165" s="1" t="s">
        <v>29</v>
      </c>
      <c r="F165">
        <v>47</v>
      </c>
      <c r="G165" t="s">
        <v>36</v>
      </c>
      <c r="H165" s="2">
        <v>36233</v>
      </c>
      <c r="I165">
        <v>92897</v>
      </c>
      <c r="J165">
        <v>0</v>
      </c>
      <c r="K165">
        <v>92897</v>
      </c>
      <c r="L165" s="1" t="s">
        <v>77</v>
      </c>
      <c r="M165" s="1" t="s">
        <v>148</v>
      </c>
      <c r="N165" s="2"/>
      <c r="O165">
        <v>164</v>
      </c>
      <c r="P165">
        <v>0</v>
      </c>
      <c r="Q165" t="s">
        <v>25</v>
      </c>
      <c r="R165">
        <f ca="1">DATEDIF(EMP_RAW_Data[[#This Row],[Hire Date]],IF(EMP_RAW_Data[[#This Row],[Exit Date]]="",TODAY(),EMP_RAW_Data[[#This Row],[Exit Date]]),"Y")</f>
        <v>27</v>
      </c>
      <c r="S165" t="str">
        <f>IF(EMP_RAW_Data[[#This Row],[Status]]=1,"Inactive","Active")</f>
        <v>Active</v>
      </c>
    </row>
    <row r="166" spans="1:19" hidden="1" x14ac:dyDescent="0.3">
      <c r="A166" s="1" t="s">
        <v>246</v>
      </c>
      <c r="B166" s="1" t="s">
        <v>68</v>
      </c>
      <c r="C166" s="1" t="s">
        <v>69</v>
      </c>
      <c r="D166" s="1" t="s">
        <v>35</v>
      </c>
      <c r="E166" s="1" t="s">
        <v>29</v>
      </c>
      <c r="F166">
        <v>40</v>
      </c>
      <c r="G166" t="s">
        <v>59</v>
      </c>
      <c r="H166" s="2">
        <v>39872</v>
      </c>
      <c r="I166">
        <v>242919</v>
      </c>
      <c r="J166">
        <v>0.31</v>
      </c>
      <c r="K166">
        <v>318223.89</v>
      </c>
      <c r="L166" s="1" t="s">
        <v>30</v>
      </c>
      <c r="M166" s="1" t="s">
        <v>31</v>
      </c>
      <c r="N166" s="2"/>
      <c r="O166">
        <v>165</v>
      </c>
      <c r="P166">
        <v>0</v>
      </c>
      <c r="Q166" t="s">
        <v>25</v>
      </c>
      <c r="R166">
        <f ca="1">DATEDIF(EMP_RAW_Data[[#This Row],[Hire Date]],IF(EMP_RAW_Data[[#This Row],[Exit Date]]="",TODAY(),EMP_RAW_Data[[#This Row],[Exit Date]]),"Y")</f>
        <v>17</v>
      </c>
      <c r="S166" t="str">
        <f>IF(EMP_RAW_Data[[#This Row],[Status]]=1,"Inactive","Active")</f>
        <v>Active</v>
      </c>
    </row>
    <row r="167" spans="1:19" hidden="1" x14ac:dyDescent="0.3">
      <c r="A167" s="1" t="s">
        <v>247</v>
      </c>
      <c r="B167" s="1" t="s">
        <v>33</v>
      </c>
      <c r="C167" s="1" t="s">
        <v>62</v>
      </c>
      <c r="D167" s="1" t="s">
        <v>35</v>
      </c>
      <c r="E167" s="1" t="s">
        <v>29</v>
      </c>
      <c r="F167">
        <v>30</v>
      </c>
      <c r="G167" t="s">
        <v>40</v>
      </c>
      <c r="H167" s="2">
        <v>43240</v>
      </c>
      <c r="I167">
        <v>184368</v>
      </c>
      <c r="J167">
        <v>0.28999999999999998</v>
      </c>
      <c r="K167">
        <v>237834.72</v>
      </c>
      <c r="L167" s="1" t="s">
        <v>23</v>
      </c>
      <c r="M167" s="1" t="s">
        <v>55</v>
      </c>
      <c r="N167" s="2"/>
      <c r="O167">
        <v>166</v>
      </c>
      <c r="P167">
        <v>0</v>
      </c>
      <c r="Q167" t="s">
        <v>25</v>
      </c>
      <c r="R167">
        <f ca="1">DATEDIF(EMP_RAW_Data[[#This Row],[Hire Date]],IF(EMP_RAW_Data[[#This Row],[Exit Date]]="",TODAY(),EMP_RAW_Data[[#This Row],[Exit Date]]),"Y")</f>
        <v>7</v>
      </c>
      <c r="S167" t="str">
        <f>IF(EMP_RAW_Data[[#This Row],[Status]]=1,"Inactive","Active")</f>
        <v>Active</v>
      </c>
    </row>
    <row r="168" spans="1:19" hidden="1" x14ac:dyDescent="0.3">
      <c r="A168" s="1" t="s">
        <v>248</v>
      </c>
      <c r="B168" s="1" t="s">
        <v>18</v>
      </c>
      <c r="C168" s="1" t="s">
        <v>34</v>
      </c>
      <c r="D168" s="1" t="s">
        <v>47</v>
      </c>
      <c r="E168" s="1" t="s">
        <v>29</v>
      </c>
      <c r="F168">
        <v>45</v>
      </c>
      <c r="G168" t="s">
        <v>36</v>
      </c>
      <c r="H168" s="2">
        <v>44554</v>
      </c>
      <c r="I168">
        <v>144754</v>
      </c>
      <c r="J168">
        <v>0.15</v>
      </c>
      <c r="K168">
        <v>166467.1</v>
      </c>
      <c r="L168" s="1" t="s">
        <v>23</v>
      </c>
      <c r="M168" s="1" t="s">
        <v>43</v>
      </c>
      <c r="N168" s="2"/>
      <c r="O168">
        <v>167</v>
      </c>
      <c r="P168">
        <v>0</v>
      </c>
      <c r="Q168" t="s">
        <v>25</v>
      </c>
      <c r="R168">
        <f ca="1">DATEDIF(EMP_RAW_Data[[#This Row],[Hire Date]],IF(EMP_RAW_Data[[#This Row],[Exit Date]]="",TODAY(),EMP_RAW_Data[[#This Row],[Exit Date]]),"Y")</f>
        <v>4</v>
      </c>
      <c r="S168" t="str">
        <f>IF(EMP_RAW_Data[[#This Row],[Status]]=1,"Inactive","Active")</f>
        <v>Active</v>
      </c>
    </row>
    <row r="169" spans="1:19" hidden="1" x14ac:dyDescent="0.3">
      <c r="A169" s="1" t="s">
        <v>249</v>
      </c>
      <c r="B169" s="1" t="s">
        <v>189</v>
      </c>
      <c r="C169" s="1" t="s">
        <v>46</v>
      </c>
      <c r="D169" s="1" t="s">
        <v>20</v>
      </c>
      <c r="E169" s="1" t="s">
        <v>21</v>
      </c>
      <c r="F169">
        <v>30</v>
      </c>
      <c r="G169" t="s">
        <v>40</v>
      </c>
      <c r="H169" s="2">
        <v>42722</v>
      </c>
      <c r="I169">
        <v>89458</v>
      </c>
      <c r="J169">
        <v>0</v>
      </c>
      <c r="K169">
        <v>89458</v>
      </c>
      <c r="L169" s="1" t="s">
        <v>23</v>
      </c>
      <c r="M169" s="1" t="s">
        <v>55</v>
      </c>
      <c r="N169" s="2"/>
      <c r="O169">
        <v>168</v>
      </c>
      <c r="P169">
        <v>0</v>
      </c>
      <c r="Q169" t="s">
        <v>25</v>
      </c>
      <c r="R169">
        <f ca="1">DATEDIF(EMP_RAW_Data[[#This Row],[Hire Date]],IF(EMP_RAW_Data[[#This Row],[Exit Date]]="",TODAY(),EMP_RAW_Data[[#This Row],[Exit Date]]),"Y")</f>
        <v>9</v>
      </c>
      <c r="S169" t="str">
        <f>IF(EMP_RAW_Data[[#This Row],[Status]]=1,"Inactive","Active")</f>
        <v>Active</v>
      </c>
    </row>
    <row r="170" spans="1:19" hidden="1" x14ac:dyDescent="0.3">
      <c r="A170" s="1" t="s">
        <v>250</v>
      </c>
      <c r="B170" s="1" t="s">
        <v>68</v>
      </c>
      <c r="C170" s="1" t="s">
        <v>54</v>
      </c>
      <c r="D170" s="1" t="s">
        <v>47</v>
      </c>
      <c r="E170" s="1" t="s">
        <v>21</v>
      </c>
      <c r="F170">
        <v>56</v>
      </c>
      <c r="G170" t="s">
        <v>22</v>
      </c>
      <c r="H170" s="2">
        <v>41714</v>
      </c>
      <c r="I170">
        <v>190815</v>
      </c>
      <c r="J170">
        <v>0.4</v>
      </c>
      <c r="K170">
        <v>267141</v>
      </c>
      <c r="L170" s="1" t="s">
        <v>23</v>
      </c>
      <c r="M170" s="1" t="s">
        <v>55</v>
      </c>
      <c r="N170" s="2"/>
      <c r="O170">
        <v>169</v>
      </c>
      <c r="P170">
        <v>0</v>
      </c>
      <c r="Q170" t="s">
        <v>25</v>
      </c>
      <c r="R170">
        <f ca="1">DATEDIF(EMP_RAW_Data[[#This Row],[Hire Date]],IF(EMP_RAW_Data[[#This Row],[Exit Date]]="",TODAY(),EMP_RAW_Data[[#This Row],[Exit Date]]),"Y")</f>
        <v>12</v>
      </c>
      <c r="S170" t="str">
        <f>IF(EMP_RAW_Data[[#This Row],[Status]]=1,"Inactive","Active")</f>
        <v>Active</v>
      </c>
    </row>
    <row r="171" spans="1:19" hidden="1" x14ac:dyDescent="0.3">
      <c r="A171" s="1" t="s">
        <v>251</v>
      </c>
      <c r="B171" s="1" t="s">
        <v>18</v>
      </c>
      <c r="C171" s="1" t="s">
        <v>46</v>
      </c>
      <c r="D171" s="1" t="s">
        <v>20</v>
      </c>
      <c r="E171" s="1" t="s">
        <v>21</v>
      </c>
      <c r="F171">
        <v>62</v>
      </c>
      <c r="G171" t="s">
        <v>22</v>
      </c>
      <c r="H171" s="2">
        <v>36374</v>
      </c>
      <c r="I171">
        <v>137995</v>
      </c>
      <c r="J171">
        <v>0.14000000000000001</v>
      </c>
      <c r="K171">
        <v>157314.29999999999</v>
      </c>
      <c r="L171" s="1" t="s">
        <v>23</v>
      </c>
      <c r="M171" s="1" t="s">
        <v>55</v>
      </c>
      <c r="N171" s="2"/>
      <c r="O171">
        <v>170</v>
      </c>
      <c r="P171">
        <v>0</v>
      </c>
      <c r="Q171" t="s">
        <v>25</v>
      </c>
      <c r="R171">
        <f ca="1">DATEDIF(EMP_RAW_Data[[#This Row],[Hire Date]],IF(EMP_RAW_Data[[#This Row],[Exit Date]]="",TODAY(),EMP_RAW_Data[[#This Row],[Exit Date]]),"Y")</f>
        <v>26</v>
      </c>
      <c r="S171" t="str">
        <f>IF(EMP_RAW_Data[[#This Row],[Status]]=1,"Inactive","Active")</f>
        <v>Active</v>
      </c>
    </row>
    <row r="172" spans="1:19" hidden="1" x14ac:dyDescent="0.3">
      <c r="A172" s="1" t="s">
        <v>252</v>
      </c>
      <c r="B172" s="1" t="s">
        <v>107</v>
      </c>
      <c r="C172" s="1" t="s">
        <v>58</v>
      </c>
      <c r="D172" s="1" t="s">
        <v>28</v>
      </c>
      <c r="E172" s="1" t="s">
        <v>21</v>
      </c>
      <c r="F172">
        <v>45</v>
      </c>
      <c r="G172" t="s">
        <v>36</v>
      </c>
      <c r="H172" s="2">
        <v>39437</v>
      </c>
      <c r="I172">
        <v>93840</v>
      </c>
      <c r="J172">
        <v>0</v>
      </c>
      <c r="K172">
        <v>93840</v>
      </c>
      <c r="L172" s="1" t="s">
        <v>77</v>
      </c>
      <c r="M172" s="1" t="s">
        <v>78</v>
      </c>
      <c r="N172" s="2"/>
      <c r="O172">
        <v>171</v>
      </c>
      <c r="P172">
        <v>0</v>
      </c>
      <c r="Q172" t="s">
        <v>25</v>
      </c>
      <c r="R172">
        <f ca="1">DATEDIF(EMP_RAW_Data[[#This Row],[Hire Date]],IF(EMP_RAW_Data[[#This Row],[Exit Date]]="",TODAY(),EMP_RAW_Data[[#This Row],[Exit Date]]),"Y")</f>
        <v>18</v>
      </c>
      <c r="S172" t="str">
        <f>IF(EMP_RAW_Data[[#This Row],[Status]]=1,"Inactive","Active")</f>
        <v>Active</v>
      </c>
    </row>
    <row r="173" spans="1:19" hidden="1" x14ac:dyDescent="0.3">
      <c r="A173" s="1" t="s">
        <v>253</v>
      </c>
      <c r="B173" s="1" t="s">
        <v>27</v>
      </c>
      <c r="C173" s="1" t="s">
        <v>19</v>
      </c>
      <c r="D173" s="1" t="s">
        <v>20</v>
      </c>
      <c r="E173" s="1" t="s">
        <v>29</v>
      </c>
      <c r="F173">
        <v>46</v>
      </c>
      <c r="G173" t="s">
        <v>36</v>
      </c>
      <c r="H173" s="2">
        <v>44495</v>
      </c>
      <c r="I173">
        <v>94790</v>
      </c>
      <c r="J173">
        <v>0</v>
      </c>
      <c r="K173">
        <v>94790</v>
      </c>
      <c r="L173" s="1" t="s">
        <v>30</v>
      </c>
      <c r="M173" s="1" t="s">
        <v>31</v>
      </c>
      <c r="N173" s="2"/>
      <c r="O173">
        <v>172</v>
      </c>
      <c r="P173">
        <v>0</v>
      </c>
      <c r="Q173" t="s">
        <v>25</v>
      </c>
      <c r="R173">
        <f ca="1">DATEDIF(EMP_RAW_Data[[#This Row],[Hire Date]],IF(EMP_RAW_Data[[#This Row],[Exit Date]]="",TODAY(),EMP_RAW_Data[[#This Row],[Exit Date]]),"Y")</f>
        <v>4</v>
      </c>
      <c r="S173" t="str">
        <f>IF(EMP_RAW_Data[[#This Row],[Status]]=1,"Inactive","Active")</f>
        <v>Active</v>
      </c>
    </row>
    <row r="174" spans="1:19" hidden="1" x14ac:dyDescent="0.3">
      <c r="A174" s="1" t="s">
        <v>254</v>
      </c>
      <c r="B174" s="1" t="s">
        <v>68</v>
      </c>
      <c r="C174" s="1" t="s">
        <v>58</v>
      </c>
      <c r="D174" s="1" t="s">
        <v>20</v>
      </c>
      <c r="E174" s="1" t="s">
        <v>29</v>
      </c>
      <c r="F174">
        <v>48</v>
      </c>
      <c r="G174" t="s">
        <v>36</v>
      </c>
      <c r="H174" s="2">
        <v>41706</v>
      </c>
      <c r="I174">
        <v>197367</v>
      </c>
      <c r="J174">
        <v>0.39</v>
      </c>
      <c r="K174">
        <v>274340.13</v>
      </c>
      <c r="L174" s="1" t="s">
        <v>23</v>
      </c>
      <c r="M174" s="1" t="s">
        <v>55</v>
      </c>
      <c r="N174" s="2"/>
      <c r="O174">
        <v>173</v>
      </c>
      <c r="P174">
        <v>0</v>
      </c>
      <c r="Q174" t="s">
        <v>25</v>
      </c>
      <c r="R174">
        <f ca="1">DATEDIF(EMP_RAW_Data[[#This Row],[Hire Date]],IF(EMP_RAW_Data[[#This Row],[Exit Date]]="",TODAY(),EMP_RAW_Data[[#This Row],[Exit Date]]),"Y")</f>
        <v>12</v>
      </c>
      <c r="S174" t="str">
        <f>IF(EMP_RAW_Data[[#This Row],[Status]]=1,"Inactive","Active")</f>
        <v>Active</v>
      </c>
    </row>
    <row r="175" spans="1:19" hidden="1" x14ac:dyDescent="0.3">
      <c r="A175" s="1" t="s">
        <v>255</v>
      </c>
      <c r="B175" s="1" t="s">
        <v>33</v>
      </c>
      <c r="C175" s="1" t="s">
        <v>54</v>
      </c>
      <c r="D175" s="1" t="s">
        <v>28</v>
      </c>
      <c r="E175" s="1" t="s">
        <v>21</v>
      </c>
      <c r="F175">
        <v>27</v>
      </c>
      <c r="G175" t="s">
        <v>40</v>
      </c>
      <c r="H175" s="2">
        <v>43276</v>
      </c>
      <c r="I175">
        <v>174097</v>
      </c>
      <c r="J175">
        <v>0.21</v>
      </c>
      <c r="K175">
        <v>210657.37</v>
      </c>
      <c r="L175" s="1" t="s">
        <v>23</v>
      </c>
      <c r="M175" s="1" t="s">
        <v>43</v>
      </c>
      <c r="N175" s="2"/>
      <c r="O175">
        <v>174</v>
      </c>
      <c r="P175">
        <v>0</v>
      </c>
      <c r="Q175" t="s">
        <v>25</v>
      </c>
      <c r="R175">
        <f ca="1">DATEDIF(EMP_RAW_Data[[#This Row],[Hire Date]],IF(EMP_RAW_Data[[#This Row],[Exit Date]]="",TODAY(),EMP_RAW_Data[[#This Row],[Exit Date]]),"Y")</f>
        <v>7</v>
      </c>
      <c r="S175" t="str">
        <f>IF(EMP_RAW_Data[[#This Row],[Status]]=1,"Inactive","Active")</f>
        <v>Active</v>
      </c>
    </row>
    <row r="176" spans="1:19" hidden="1" x14ac:dyDescent="0.3">
      <c r="A176" s="1" t="s">
        <v>256</v>
      </c>
      <c r="B176" s="1" t="s">
        <v>49</v>
      </c>
      <c r="C176" s="1" t="s">
        <v>19</v>
      </c>
      <c r="D176" s="1" t="s">
        <v>35</v>
      </c>
      <c r="E176" s="1" t="s">
        <v>29</v>
      </c>
      <c r="F176">
        <v>53</v>
      </c>
      <c r="G176" t="s">
        <v>36</v>
      </c>
      <c r="H176" s="2">
        <v>39021</v>
      </c>
      <c r="I176">
        <v>120128</v>
      </c>
      <c r="J176">
        <v>0.1</v>
      </c>
      <c r="K176">
        <v>132140.79999999999</v>
      </c>
      <c r="L176" s="1" t="s">
        <v>23</v>
      </c>
      <c r="M176" s="1" t="s">
        <v>55</v>
      </c>
      <c r="N176" s="2"/>
      <c r="O176">
        <v>175</v>
      </c>
      <c r="P176">
        <v>0</v>
      </c>
      <c r="Q176" t="s">
        <v>25</v>
      </c>
      <c r="R176">
        <f ca="1">DATEDIF(EMP_RAW_Data[[#This Row],[Hire Date]],IF(EMP_RAW_Data[[#This Row],[Exit Date]]="",TODAY(),EMP_RAW_Data[[#This Row],[Exit Date]]),"Y")</f>
        <v>19</v>
      </c>
      <c r="S176" t="str">
        <f>IF(EMP_RAW_Data[[#This Row],[Status]]=1,"Inactive","Active")</f>
        <v>Active</v>
      </c>
    </row>
    <row r="177" spans="1:19" hidden="1" x14ac:dyDescent="0.3">
      <c r="A177" s="1" t="s">
        <v>257</v>
      </c>
      <c r="B177" s="1" t="s">
        <v>49</v>
      </c>
      <c r="C177" s="1" t="s">
        <v>69</v>
      </c>
      <c r="D177" s="1" t="s">
        <v>28</v>
      </c>
      <c r="E177" s="1" t="s">
        <v>21</v>
      </c>
      <c r="F177">
        <v>59</v>
      </c>
      <c r="G177" t="s">
        <v>22</v>
      </c>
      <c r="H177" s="2">
        <v>39197</v>
      </c>
      <c r="I177">
        <v>129708</v>
      </c>
      <c r="J177">
        <v>0.05</v>
      </c>
      <c r="K177">
        <v>136193.4</v>
      </c>
      <c r="L177" s="1" t="s">
        <v>23</v>
      </c>
      <c r="M177" s="1" t="s">
        <v>52</v>
      </c>
      <c r="N177" s="2"/>
      <c r="O177">
        <v>176</v>
      </c>
      <c r="P177">
        <v>0</v>
      </c>
      <c r="Q177" t="s">
        <v>25</v>
      </c>
      <c r="R177">
        <f ca="1">DATEDIF(EMP_RAW_Data[[#This Row],[Hire Date]],IF(EMP_RAW_Data[[#This Row],[Exit Date]]="",TODAY(),EMP_RAW_Data[[#This Row],[Exit Date]]),"Y")</f>
        <v>18</v>
      </c>
      <c r="S177" t="str">
        <f>IF(EMP_RAW_Data[[#This Row],[Status]]=1,"Inactive","Active")</f>
        <v>Active</v>
      </c>
    </row>
    <row r="178" spans="1:19" hidden="1" x14ac:dyDescent="0.3">
      <c r="A178" s="1" t="s">
        <v>258</v>
      </c>
      <c r="B178" s="1" t="s">
        <v>49</v>
      </c>
      <c r="C178" s="1" t="s">
        <v>69</v>
      </c>
      <c r="D178" s="1" t="s">
        <v>20</v>
      </c>
      <c r="E178" s="1" t="s">
        <v>29</v>
      </c>
      <c r="F178">
        <v>55</v>
      </c>
      <c r="G178" t="s">
        <v>22</v>
      </c>
      <c r="H178" s="2">
        <v>34595</v>
      </c>
      <c r="I178">
        <v>102270</v>
      </c>
      <c r="J178">
        <v>0.1</v>
      </c>
      <c r="K178">
        <v>112497</v>
      </c>
      <c r="L178" s="1" t="s">
        <v>23</v>
      </c>
      <c r="M178" s="1" t="s">
        <v>37</v>
      </c>
      <c r="N178" s="2"/>
      <c r="O178">
        <v>177</v>
      </c>
      <c r="P178">
        <v>0</v>
      </c>
      <c r="Q178" t="s">
        <v>25</v>
      </c>
      <c r="R178">
        <f ca="1">DATEDIF(EMP_RAW_Data[[#This Row],[Hire Date]],IF(EMP_RAW_Data[[#This Row],[Exit Date]]="",TODAY(),EMP_RAW_Data[[#This Row],[Exit Date]]),"Y")</f>
        <v>31</v>
      </c>
      <c r="S178" t="str">
        <f>IF(EMP_RAW_Data[[#This Row],[Status]]=1,"Inactive","Active")</f>
        <v>Active</v>
      </c>
    </row>
    <row r="179" spans="1:19" hidden="1" x14ac:dyDescent="0.3">
      <c r="A179" s="1" t="s">
        <v>259</v>
      </c>
      <c r="B179" s="1" t="s">
        <v>68</v>
      </c>
      <c r="C179" s="1" t="s">
        <v>34</v>
      </c>
      <c r="D179" s="1" t="s">
        <v>35</v>
      </c>
      <c r="E179" s="1" t="s">
        <v>21</v>
      </c>
      <c r="F179">
        <v>43</v>
      </c>
      <c r="G179" t="s">
        <v>59</v>
      </c>
      <c r="H179" s="2">
        <v>38564</v>
      </c>
      <c r="I179">
        <v>249686</v>
      </c>
      <c r="J179">
        <v>0.31</v>
      </c>
      <c r="K179">
        <v>327088.66000000003</v>
      </c>
      <c r="L179" s="1" t="s">
        <v>30</v>
      </c>
      <c r="M179" s="1" t="s">
        <v>31</v>
      </c>
      <c r="N179" s="2"/>
      <c r="O179">
        <v>178</v>
      </c>
      <c r="P179">
        <v>0</v>
      </c>
      <c r="Q179" t="s">
        <v>25</v>
      </c>
      <c r="R179">
        <f ca="1">DATEDIF(EMP_RAW_Data[[#This Row],[Hire Date]],IF(EMP_RAW_Data[[#This Row],[Exit Date]]="",TODAY(),EMP_RAW_Data[[#This Row],[Exit Date]]),"Y")</f>
        <v>20</v>
      </c>
      <c r="S179" t="str">
        <f>IF(EMP_RAW_Data[[#This Row],[Status]]=1,"Inactive","Active")</f>
        <v>Active</v>
      </c>
    </row>
    <row r="180" spans="1:19" hidden="1" x14ac:dyDescent="0.3">
      <c r="A180" s="1" t="s">
        <v>260</v>
      </c>
      <c r="B180" s="1" t="s">
        <v>51</v>
      </c>
      <c r="C180" s="1" t="s">
        <v>34</v>
      </c>
      <c r="D180" s="1" t="s">
        <v>28</v>
      </c>
      <c r="E180" s="1" t="s">
        <v>21</v>
      </c>
      <c r="F180">
        <v>55</v>
      </c>
      <c r="G180" t="s">
        <v>22</v>
      </c>
      <c r="H180" s="2">
        <v>37343</v>
      </c>
      <c r="I180">
        <v>50475</v>
      </c>
      <c r="J180">
        <v>0</v>
      </c>
      <c r="K180">
        <v>50475</v>
      </c>
      <c r="L180" s="1" t="s">
        <v>23</v>
      </c>
      <c r="M180" s="1" t="s">
        <v>74</v>
      </c>
      <c r="N180" s="2"/>
      <c r="O180">
        <v>179</v>
      </c>
      <c r="P180">
        <v>0</v>
      </c>
      <c r="Q180" t="s">
        <v>25</v>
      </c>
      <c r="R180">
        <f ca="1">DATEDIF(EMP_RAW_Data[[#This Row],[Hire Date]],IF(EMP_RAW_Data[[#This Row],[Exit Date]]="",TODAY(),EMP_RAW_Data[[#This Row],[Exit Date]]),"Y")</f>
        <v>23</v>
      </c>
      <c r="S180" t="str">
        <f>IF(EMP_RAW_Data[[#This Row],[Status]]=1,"Inactive","Active")</f>
        <v>Active</v>
      </c>
    </row>
    <row r="181" spans="1:19" hidden="1" x14ac:dyDescent="0.3">
      <c r="A181" s="1" t="s">
        <v>261</v>
      </c>
      <c r="B181" s="1" t="s">
        <v>49</v>
      </c>
      <c r="C181" s="1" t="s">
        <v>69</v>
      </c>
      <c r="D181" s="1" t="s">
        <v>20</v>
      </c>
      <c r="E181" s="1" t="s">
        <v>29</v>
      </c>
      <c r="F181">
        <v>51</v>
      </c>
      <c r="G181" t="s">
        <v>36</v>
      </c>
      <c r="H181" s="2">
        <v>44014</v>
      </c>
      <c r="I181">
        <v>100099</v>
      </c>
      <c r="J181">
        <v>0.08</v>
      </c>
      <c r="K181">
        <v>108106.92</v>
      </c>
      <c r="L181" s="1" t="s">
        <v>23</v>
      </c>
      <c r="M181" s="1" t="s">
        <v>52</v>
      </c>
      <c r="N181" s="2"/>
      <c r="O181">
        <v>180</v>
      </c>
      <c r="P181">
        <v>0</v>
      </c>
      <c r="Q181" t="s">
        <v>25</v>
      </c>
      <c r="R181">
        <f ca="1">DATEDIF(EMP_RAW_Data[[#This Row],[Hire Date]],IF(EMP_RAW_Data[[#This Row],[Exit Date]]="",TODAY(),EMP_RAW_Data[[#This Row],[Exit Date]]),"Y")</f>
        <v>5</v>
      </c>
      <c r="S181" t="str">
        <f>IF(EMP_RAW_Data[[#This Row],[Status]]=1,"Inactive","Active")</f>
        <v>Active</v>
      </c>
    </row>
    <row r="182" spans="1:19" hidden="1" x14ac:dyDescent="0.3">
      <c r="A182" s="1" t="s">
        <v>262</v>
      </c>
      <c r="B182" s="1" t="s">
        <v>93</v>
      </c>
      <c r="C182" s="1" t="s">
        <v>19</v>
      </c>
      <c r="D182" s="1" t="s">
        <v>28</v>
      </c>
      <c r="E182" s="1" t="s">
        <v>21</v>
      </c>
      <c r="F182">
        <v>54</v>
      </c>
      <c r="G182" t="s">
        <v>36</v>
      </c>
      <c r="H182" s="2">
        <v>42731</v>
      </c>
      <c r="I182">
        <v>41673</v>
      </c>
      <c r="J182">
        <v>0</v>
      </c>
      <c r="K182">
        <v>41673</v>
      </c>
      <c r="L182" s="1" t="s">
        <v>23</v>
      </c>
      <c r="M182" s="1" t="s">
        <v>52</v>
      </c>
      <c r="N182" s="2"/>
      <c r="O182">
        <v>181</v>
      </c>
      <c r="P182">
        <v>0</v>
      </c>
      <c r="Q182" t="s">
        <v>25</v>
      </c>
      <c r="R182">
        <f ca="1">DATEDIF(EMP_RAW_Data[[#This Row],[Hire Date]],IF(EMP_RAW_Data[[#This Row],[Exit Date]]="",TODAY(),EMP_RAW_Data[[#This Row],[Exit Date]]),"Y")</f>
        <v>9</v>
      </c>
      <c r="S182" t="str">
        <f>IF(EMP_RAW_Data[[#This Row],[Status]]=1,"Inactive","Active")</f>
        <v>Active</v>
      </c>
    </row>
    <row r="183" spans="1:19" hidden="1" x14ac:dyDescent="0.3">
      <c r="A183" s="1" t="s">
        <v>263</v>
      </c>
      <c r="B183" s="1" t="s">
        <v>42</v>
      </c>
      <c r="C183" s="1" t="s">
        <v>69</v>
      </c>
      <c r="D183" s="1" t="s">
        <v>35</v>
      </c>
      <c r="E183" s="1" t="s">
        <v>21</v>
      </c>
      <c r="F183">
        <v>47</v>
      </c>
      <c r="G183" t="s">
        <v>36</v>
      </c>
      <c r="H183" s="2">
        <v>42928</v>
      </c>
      <c r="I183">
        <v>70996</v>
      </c>
      <c r="J183">
        <v>0</v>
      </c>
      <c r="K183">
        <v>70996</v>
      </c>
      <c r="L183" s="1" t="s">
        <v>30</v>
      </c>
      <c r="M183" s="1" t="s">
        <v>102</v>
      </c>
      <c r="N183" s="2"/>
      <c r="O183">
        <v>182</v>
      </c>
      <c r="P183">
        <v>0</v>
      </c>
      <c r="Q183" t="s">
        <v>25</v>
      </c>
      <c r="R183">
        <f ca="1">DATEDIF(EMP_RAW_Data[[#This Row],[Hire Date]],IF(EMP_RAW_Data[[#This Row],[Exit Date]]="",TODAY(),EMP_RAW_Data[[#This Row],[Exit Date]]),"Y")</f>
        <v>8</v>
      </c>
      <c r="S183" t="str">
        <f>IF(EMP_RAW_Data[[#This Row],[Status]]=1,"Inactive","Active")</f>
        <v>Active</v>
      </c>
    </row>
    <row r="184" spans="1:19" hidden="1" x14ac:dyDescent="0.3">
      <c r="A184" s="1" t="s">
        <v>264</v>
      </c>
      <c r="B184" s="1" t="s">
        <v>51</v>
      </c>
      <c r="C184" s="1" t="s">
        <v>69</v>
      </c>
      <c r="D184" s="1" t="s">
        <v>47</v>
      </c>
      <c r="E184" s="1" t="s">
        <v>29</v>
      </c>
      <c r="F184">
        <v>55</v>
      </c>
      <c r="G184" t="s">
        <v>22</v>
      </c>
      <c r="H184" s="2">
        <v>38328</v>
      </c>
      <c r="I184">
        <v>40752</v>
      </c>
      <c r="J184">
        <v>0</v>
      </c>
      <c r="K184">
        <v>40752</v>
      </c>
      <c r="L184" s="1" t="s">
        <v>23</v>
      </c>
      <c r="M184" s="1" t="s">
        <v>43</v>
      </c>
      <c r="N184" s="2"/>
      <c r="O184">
        <v>183</v>
      </c>
      <c r="P184">
        <v>0</v>
      </c>
      <c r="Q184" t="s">
        <v>25</v>
      </c>
      <c r="R184">
        <f ca="1">DATEDIF(EMP_RAW_Data[[#This Row],[Hire Date]],IF(EMP_RAW_Data[[#This Row],[Exit Date]]="",TODAY(),EMP_RAW_Data[[#This Row],[Exit Date]]),"Y")</f>
        <v>21</v>
      </c>
      <c r="S184" t="str">
        <f>IF(EMP_RAW_Data[[#This Row],[Status]]=1,"Inactive","Active")</f>
        <v>Active</v>
      </c>
    </row>
    <row r="185" spans="1:19" hidden="1" x14ac:dyDescent="0.3">
      <c r="A185" s="1" t="s">
        <v>265</v>
      </c>
      <c r="B185" s="1" t="s">
        <v>166</v>
      </c>
      <c r="C185" s="1" t="s">
        <v>19</v>
      </c>
      <c r="D185" s="1" t="s">
        <v>28</v>
      </c>
      <c r="E185" s="1" t="s">
        <v>21</v>
      </c>
      <c r="F185">
        <v>50</v>
      </c>
      <c r="G185" t="s">
        <v>36</v>
      </c>
      <c r="H185" s="2">
        <v>36914</v>
      </c>
      <c r="I185">
        <v>97537</v>
      </c>
      <c r="J185">
        <v>0</v>
      </c>
      <c r="K185">
        <v>97537</v>
      </c>
      <c r="L185" s="1" t="s">
        <v>30</v>
      </c>
      <c r="M185" s="1" t="s">
        <v>102</v>
      </c>
      <c r="N185" s="2"/>
      <c r="O185">
        <v>184</v>
      </c>
      <c r="P185">
        <v>0</v>
      </c>
      <c r="Q185" t="s">
        <v>25</v>
      </c>
      <c r="R185">
        <f ca="1">DATEDIF(EMP_RAW_Data[[#This Row],[Hire Date]],IF(EMP_RAW_Data[[#This Row],[Exit Date]]="",TODAY(),EMP_RAW_Data[[#This Row],[Exit Date]]),"Y")</f>
        <v>25</v>
      </c>
      <c r="S185" t="str">
        <f>IF(EMP_RAW_Data[[#This Row],[Status]]=1,"Inactive","Active")</f>
        <v>Active</v>
      </c>
    </row>
    <row r="186" spans="1:19" hidden="1" x14ac:dyDescent="0.3">
      <c r="A186" s="1" t="s">
        <v>266</v>
      </c>
      <c r="B186" s="1" t="s">
        <v>267</v>
      </c>
      <c r="C186" s="1" t="s">
        <v>19</v>
      </c>
      <c r="D186" s="1" t="s">
        <v>20</v>
      </c>
      <c r="E186" s="1" t="s">
        <v>29</v>
      </c>
      <c r="F186">
        <v>31</v>
      </c>
      <c r="G186" t="s">
        <v>40</v>
      </c>
      <c r="H186" s="2">
        <v>44086</v>
      </c>
      <c r="I186">
        <v>96567</v>
      </c>
      <c r="J186">
        <v>0</v>
      </c>
      <c r="K186">
        <v>96567</v>
      </c>
      <c r="L186" s="1" t="s">
        <v>30</v>
      </c>
      <c r="M186" s="1" t="s">
        <v>65</v>
      </c>
      <c r="N186" s="2"/>
      <c r="O186">
        <v>185</v>
      </c>
      <c r="P186">
        <v>0</v>
      </c>
      <c r="Q186" t="s">
        <v>25</v>
      </c>
      <c r="R186">
        <f ca="1">DATEDIF(EMP_RAW_Data[[#This Row],[Hire Date]],IF(EMP_RAW_Data[[#This Row],[Exit Date]]="",TODAY(),EMP_RAW_Data[[#This Row],[Exit Date]]),"Y")</f>
        <v>5</v>
      </c>
      <c r="S186" t="str">
        <f>IF(EMP_RAW_Data[[#This Row],[Status]]=1,"Inactive","Active")</f>
        <v>Active</v>
      </c>
    </row>
    <row r="187" spans="1:19" hidden="1" x14ac:dyDescent="0.3">
      <c r="A187" s="1" t="s">
        <v>268</v>
      </c>
      <c r="B187" s="1" t="s">
        <v>208</v>
      </c>
      <c r="C187" s="1" t="s">
        <v>19</v>
      </c>
      <c r="D187" s="1" t="s">
        <v>35</v>
      </c>
      <c r="E187" s="1" t="s">
        <v>29</v>
      </c>
      <c r="F187">
        <v>47</v>
      </c>
      <c r="G187" t="s">
        <v>36</v>
      </c>
      <c r="H187" s="2">
        <v>36229</v>
      </c>
      <c r="I187">
        <v>49404</v>
      </c>
      <c r="J187">
        <v>0</v>
      </c>
      <c r="K187">
        <v>49404</v>
      </c>
      <c r="L187" s="1" t="s">
        <v>30</v>
      </c>
      <c r="M187" s="1" t="s">
        <v>90</v>
      </c>
      <c r="N187" s="2"/>
      <c r="O187">
        <v>186</v>
      </c>
      <c r="P187">
        <v>0</v>
      </c>
      <c r="Q187" t="s">
        <v>25</v>
      </c>
      <c r="R187">
        <f ca="1">DATEDIF(EMP_RAW_Data[[#This Row],[Hire Date]],IF(EMP_RAW_Data[[#This Row],[Exit Date]]="",TODAY(),EMP_RAW_Data[[#This Row],[Exit Date]]),"Y")</f>
        <v>27</v>
      </c>
      <c r="S187" t="str">
        <f>IF(EMP_RAW_Data[[#This Row],[Status]]=1,"Inactive","Active")</f>
        <v>Active</v>
      </c>
    </row>
    <row r="188" spans="1:19" hidden="1" x14ac:dyDescent="0.3">
      <c r="A188" s="1" t="s">
        <v>269</v>
      </c>
      <c r="B188" s="1" t="s">
        <v>267</v>
      </c>
      <c r="C188" s="1" t="s">
        <v>19</v>
      </c>
      <c r="D188" s="1" t="s">
        <v>20</v>
      </c>
      <c r="E188" s="1" t="s">
        <v>29</v>
      </c>
      <c r="F188">
        <v>29</v>
      </c>
      <c r="G188" t="s">
        <v>40</v>
      </c>
      <c r="H188" s="2">
        <v>43753</v>
      </c>
      <c r="I188">
        <v>66819</v>
      </c>
      <c r="J188">
        <v>0</v>
      </c>
      <c r="K188">
        <v>66819</v>
      </c>
      <c r="L188" s="1" t="s">
        <v>77</v>
      </c>
      <c r="M188" s="1" t="s">
        <v>81</v>
      </c>
      <c r="N188" s="2"/>
      <c r="O188">
        <v>187</v>
      </c>
      <c r="P188">
        <v>0</v>
      </c>
      <c r="Q188" t="s">
        <v>25</v>
      </c>
      <c r="R188">
        <f ca="1">DATEDIF(EMP_RAW_Data[[#This Row],[Hire Date]],IF(EMP_RAW_Data[[#This Row],[Exit Date]]="",TODAY(),EMP_RAW_Data[[#This Row],[Exit Date]]),"Y")</f>
        <v>6</v>
      </c>
      <c r="S188" t="str">
        <f>IF(EMP_RAW_Data[[#This Row],[Status]]=1,"Inactive","Active")</f>
        <v>Active</v>
      </c>
    </row>
    <row r="189" spans="1:19" hidden="1" x14ac:dyDescent="0.3">
      <c r="A189" s="1" t="s">
        <v>270</v>
      </c>
      <c r="B189" s="1" t="s">
        <v>51</v>
      </c>
      <c r="C189" s="1" t="s">
        <v>69</v>
      </c>
      <c r="D189" s="1" t="s">
        <v>35</v>
      </c>
      <c r="E189" s="1" t="s">
        <v>29</v>
      </c>
      <c r="F189">
        <v>38</v>
      </c>
      <c r="G189" t="s">
        <v>59</v>
      </c>
      <c r="H189" s="2">
        <v>42492</v>
      </c>
      <c r="I189">
        <v>50784</v>
      </c>
      <c r="J189">
        <v>0</v>
      </c>
      <c r="K189">
        <v>50784</v>
      </c>
      <c r="L189" s="1" t="s">
        <v>77</v>
      </c>
      <c r="M189" s="1" t="s">
        <v>81</v>
      </c>
      <c r="N189" s="2"/>
      <c r="O189">
        <v>188</v>
      </c>
      <c r="P189">
        <v>0</v>
      </c>
      <c r="Q189" t="s">
        <v>25</v>
      </c>
      <c r="R189">
        <f ca="1">DATEDIF(EMP_RAW_Data[[#This Row],[Hire Date]],IF(EMP_RAW_Data[[#This Row],[Exit Date]]="",TODAY(),EMP_RAW_Data[[#This Row],[Exit Date]]),"Y")</f>
        <v>9</v>
      </c>
      <c r="S189" t="str">
        <f>IF(EMP_RAW_Data[[#This Row],[Status]]=1,"Inactive","Active")</f>
        <v>Active</v>
      </c>
    </row>
    <row r="190" spans="1:19" hidden="1" x14ac:dyDescent="0.3">
      <c r="A190" s="1" t="s">
        <v>271</v>
      </c>
      <c r="B190" s="1" t="s">
        <v>18</v>
      </c>
      <c r="C190" s="1" t="s">
        <v>58</v>
      </c>
      <c r="D190" s="1" t="s">
        <v>20</v>
      </c>
      <c r="E190" s="1" t="s">
        <v>29</v>
      </c>
      <c r="F190">
        <v>29</v>
      </c>
      <c r="G190" t="s">
        <v>40</v>
      </c>
      <c r="H190" s="2">
        <v>43594</v>
      </c>
      <c r="I190">
        <v>125828</v>
      </c>
      <c r="J190">
        <v>0.15</v>
      </c>
      <c r="K190">
        <v>144702.20000000001</v>
      </c>
      <c r="L190" s="1" t="s">
        <v>77</v>
      </c>
      <c r="M190" s="1" t="s">
        <v>148</v>
      </c>
      <c r="N190" s="2"/>
      <c r="O190">
        <v>189</v>
      </c>
      <c r="P190">
        <v>0</v>
      </c>
      <c r="Q190" t="s">
        <v>25</v>
      </c>
      <c r="R190">
        <f ca="1">DATEDIF(EMP_RAW_Data[[#This Row],[Hire Date]],IF(EMP_RAW_Data[[#This Row],[Exit Date]]="",TODAY(),EMP_RAW_Data[[#This Row],[Exit Date]]),"Y")</f>
        <v>6</v>
      </c>
      <c r="S190" t="str">
        <f>IF(EMP_RAW_Data[[#This Row],[Status]]=1,"Inactive","Active")</f>
        <v>Active</v>
      </c>
    </row>
    <row r="191" spans="1:19" hidden="1" x14ac:dyDescent="0.3">
      <c r="A191" s="1" t="s">
        <v>272</v>
      </c>
      <c r="B191" s="1" t="s">
        <v>107</v>
      </c>
      <c r="C191" s="1" t="s">
        <v>58</v>
      </c>
      <c r="D191" s="1" t="s">
        <v>28</v>
      </c>
      <c r="E191" s="1" t="s">
        <v>29</v>
      </c>
      <c r="F191">
        <v>33</v>
      </c>
      <c r="G191" t="s">
        <v>40</v>
      </c>
      <c r="H191" s="2">
        <v>42951</v>
      </c>
      <c r="I191">
        <v>92610</v>
      </c>
      <c r="J191">
        <v>0</v>
      </c>
      <c r="K191">
        <v>92610</v>
      </c>
      <c r="L191" s="1" t="s">
        <v>23</v>
      </c>
      <c r="M191" s="1" t="s">
        <v>74</v>
      </c>
      <c r="N191" s="2"/>
      <c r="O191">
        <v>190</v>
      </c>
      <c r="P191">
        <v>0</v>
      </c>
      <c r="Q191" t="s">
        <v>25</v>
      </c>
      <c r="R191">
        <f ca="1">DATEDIF(EMP_RAW_Data[[#This Row],[Hire Date]],IF(EMP_RAW_Data[[#This Row],[Exit Date]]="",TODAY(),EMP_RAW_Data[[#This Row],[Exit Date]]),"Y")</f>
        <v>8</v>
      </c>
      <c r="S191" t="str">
        <f>IF(EMP_RAW_Data[[#This Row],[Status]]=1,"Inactive","Active")</f>
        <v>Active</v>
      </c>
    </row>
    <row r="192" spans="1:19" hidden="1" x14ac:dyDescent="0.3">
      <c r="A192" s="1" t="s">
        <v>273</v>
      </c>
      <c r="B192" s="1" t="s">
        <v>18</v>
      </c>
      <c r="C192" s="1" t="s">
        <v>46</v>
      </c>
      <c r="D192" s="1" t="s">
        <v>35</v>
      </c>
      <c r="E192" s="1" t="s">
        <v>29</v>
      </c>
      <c r="F192">
        <v>50</v>
      </c>
      <c r="G192" t="s">
        <v>36</v>
      </c>
      <c r="H192" s="2">
        <v>37705</v>
      </c>
      <c r="I192">
        <v>123405</v>
      </c>
      <c r="J192">
        <v>0.13</v>
      </c>
      <c r="K192">
        <v>139447.65</v>
      </c>
      <c r="L192" s="1" t="s">
        <v>23</v>
      </c>
      <c r="M192" s="1" t="s">
        <v>74</v>
      </c>
      <c r="N192" s="2"/>
      <c r="O192">
        <v>191</v>
      </c>
      <c r="P192">
        <v>0</v>
      </c>
      <c r="Q192" t="s">
        <v>25</v>
      </c>
      <c r="R192">
        <f ca="1">DATEDIF(EMP_RAW_Data[[#This Row],[Hire Date]],IF(EMP_RAW_Data[[#This Row],[Exit Date]]="",TODAY(),EMP_RAW_Data[[#This Row],[Exit Date]]),"Y")</f>
        <v>22</v>
      </c>
      <c r="S192" t="str">
        <f>IF(EMP_RAW_Data[[#This Row],[Status]]=1,"Inactive","Active")</f>
        <v>Active</v>
      </c>
    </row>
    <row r="193" spans="1:19" hidden="1" x14ac:dyDescent="0.3">
      <c r="A193" s="1" t="s">
        <v>274</v>
      </c>
      <c r="B193" s="1" t="s">
        <v>45</v>
      </c>
      <c r="C193" s="1" t="s">
        <v>46</v>
      </c>
      <c r="D193" s="1" t="s">
        <v>28</v>
      </c>
      <c r="E193" s="1" t="s">
        <v>21</v>
      </c>
      <c r="F193">
        <v>46</v>
      </c>
      <c r="G193" t="s">
        <v>36</v>
      </c>
      <c r="H193" s="2">
        <v>38066</v>
      </c>
      <c r="I193">
        <v>73004</v>
      </c>
      <c r="J193">
        <v>0</v>
      </c>
      <c r="K193">
        <v>73004</v>
      </c>
      <c r="L193" s="1" t="s">
        <v>30</v>
      </c>
      <c r="M193" s="1" t="s">
        <v>90</v>
      </c>
      <c r="N193" s="2"/>
      <c r="O193">
        <v>192</v>
      </c>
      <c r="P193">
        <v>0</v>
      </c>
      <c r="Q193" t="s">
        <v>25</v>
      </c>
      <c r="R193">
        <f ca="1">DATEDIF(EMP_RAW_Data[[#This Row],[Hire Date]],IF(EMP_RAW_Data[[#This Row],[Exit Date]]="",TODAY(),EMP_RAW_Data[[#This Row],[Exit Date]]),"Y")</f>
        <v>21</v>
      </c>
      <c r="S193" t="str">
        <f>IF(EMP_RAW_Data[[#This Row],[Status]]=1,"Inactive","Active")</f>
        <v>Active</v>
      </c>
    </row>
    <row r="194" spans="1:19" hidden="1" x14ac:dyDescent="0.3">
      <c r="A194" s="1" t="s">
        <v>275</v>
      </c>
      <c r="B194" s="1" t="s">
        <v>89</v>
      </c>
      <c r="C194" s="1" t="s">
        <v>62</v>
      </c>
      <c r="D194" s="1" t="s">
        <v>47</v>
      </c>
      <c r="E194" s="1" t="s">
        <v>29</v>
      </c>
      <c r="F194">
        <v>57</v>
      </c>
      <c r="G194" t="s">
        <v>22</v>
      </c>
      <c r="H194" s="2">
        <v>36275</v>
      </c>
      <c r="I194">
        <v>95061</v>
      </c>
      <c r="J194">
        <v>0.1</v>
      </c>
      <c r="K194">
        <v>104567.1</v>
      </c>
      <c r="L194" s="1" t="s">
        <v>30</v>
      </c>
      <c r="M194" s="1" t="s">
        <v>65</v>
      </c>
      <c r="N194" s="2"/>
      <c r="O194">
        <v>193</v>
      </c>
      <c r="P194">
        <v>0</v>
      </c>
      <c r="Q194" t="s">
        <v>25</v>
      </c>
      <c r="R194">
        <f ca="1">DATEDIF(EMP_RAW_Data[[#This Row],[Hire Date]],IF(EMP_RAW_Data[[#This Row],[Exit Date]]="",TODAY(),EMP_RAW_Data[[#This Row],[Exit Date]]),"Y")</f>
        <v>26</v>
      </c>
      <c r="S194" t="str">
        <f>IF(EMP_RAW_Data[[#This Row],[Status]]=1,"Inactive","Active")</f>
        <v>Active</v>
      </c>
    </row>
    <row r="195" spans="1:19" hidden="1" x14ac:dyDescent="0.3">
      <c r="A195" s="1" t="s">
        <v>276</v>
      </c>
      <c r="B195" s="1" t="s">
        <v>33</v>
      </c>
      <c r="C195" s="1" t="s">
        <v>46</v>
      </c>
      <c r="D195" s="1" t="s">
        <v>47</v>
      </c>
      <c r="E195" s="1" t="s">
        <v>21</v>
      </c>
      <c r="F195">
        <v>49</v>
      </c>
      <c r="G195" t="s">
        <v>36</v>
      </c>
      <c r="H195" s="2">
        <v>35887</v>
      </c>
      <c r="I195">
        <v>160832</v>
      </c>
      <c r="J195">
        <v>0.3</v>
      </c>
      <c r="K195">
        <v>209081.60000000001</v>
      </c>
      <c r="L195" s="1" t="s">
        <v>23</v>
      </c>
      <c r="M195" s="1" t="s">
        <v>43</v>
      </c>
      <c r="N195" s="2"/>
      <c r="O195">
        <v>194</v>
      </c>
      <c r="P195">
        <v>0</v>
      </c>
      <c r="Q195" t="s">
        <v>25</v>
      </c>
      <c r="R195">
        <f ca="1">DATEDIF(EMP_RAW_Data[[#This Row],[Hire Date]],IF(EMP_RAW_Data[[#This Row],[Exit Date]]="",TODAY(),EMP_RAW_Data[[#This Row],[Exit Date]]),"Y")</f>
        <v>27</v>
      </c>
      <c r="S195" t="str">
        <f>IF(EMP_RAW_Data[[#This Row],[Status]]=1,"Inactive","Active")</f>
        <v>Active</v>
      </c>
    </row>
    <row r="196" spans="1:19" hidden="1" x14ac:dyDescent="0.3">
      <c r="A196" s="1" t="s">
        <v>277</v>
      </c>
      <c r="B196" s="1" t="s">
        <v>278</v>
      </c>
      <c r="C196" s="1" t="s">
        <v>19</v>
      </c>
      <c r="D196" s="1" t="s">
        <v>28</v>
      </c>
      <c r="E196" s="1" t="s">
        <v>29</v>
      </c>
      <c r="F196">
        <v>54</v>
      </c>
      <c r="G196" t="s">
        <v>36</v>
      </c>
      <c r="H196" s="2">
        <v>40540</v>
      </c>
      <c r="I196">
        <v>64417</v>
      </c>
      <c r="J196">
        <v>0</v>
      </c>
      <c r="K196">
        <v>64417</v>
      </c>
      <c r="L196" s="1" t="s">
        <v>23</v>
      </c>
      <c r="M196" s="1" t="s">
        <v>74</v>
      </c>
      <c r="N196" s="2"/>
      <c r="O196">
        <v>195</v>
      </c>
      <c r="P196">
        <v>0</v>
      </c>
      <c r="Q196" t="s">
        <v>25</v>
      </c>
      <c r="R196">
        <f ca="1">DATEDIF(EMP_RAW_Data[[#This Row],[Hire Date]],IF(EMP_RAW_Data[[#This Row],[Exit Date]]="",TODAY(),EMP_RAW_Data[[#This Row],[Exit Date]]),"Y")</f>
        <v>15</v>
      </c>
      <c r="S196" t="str">
        <f>IF(EMP_RAW_Data[[#This Row],[Status]]=1,"Inactive","Active")</f>
        <v>Active</v>
      </c>
    </row>
    <row r="197" spans="1:19" hidden="1" x14ac:dyDescent="0.3">
      <c r="A197" s="1" t="s">
        <v>279</v>
      </c>
      <c r="B197" s="1" t="s">
        <v>49</v>
      </c>
      <c r="C197" s="1" t="s">
        <v>46</v>
      </c>
      <c r="D197" s="1" t="s">
        <v>47</v>
      </c>
      <c r="E197" s="1" t="s">
        <v>29</v>
      </c>
      <c r="F197">
        <v>28</v>
      </c>
      <c r="G197" t="s">
        <v>40</v>
      </c>
      <c r="H197" s="2">
        <v>44274</v>
      </c>
      <c r="I197">
        <v>127543</v>
      </c>
      <c r="J197">
        <v>0.06</v>
      </c>
      <c r="K197">
        <v>135195.57999999999</v>
      </c>
      <c r="L197" s="1" t="s">
        <v>30</v>
      </c>
      <c r="M197" s="1" t="s">
        <v>65</v>
      </c>
      <c r="N197" s="2"/>
      <c r="O197">
        <v>196</v>
      </c>
      <c r="P197">
        <v>0</v>
      </c>
      <c r="Q197" t="s">
        <v>25</v>
      </c>
      <c r="R197">
        <f ca="1">DATEDIF(EMP_RAW_Data[[#This Row],[Hire Date]],IF(EMP_RAW_Data[[#This Row],[Exit Date]]="",TODAY(),EMP_RAW_Data[[#This Row],[Exit Date]]),"Y")</f>
        <v>4</v>
      </c>
      <c r="S197" t="str">
        <f>IF(EMP_RAW_Data[[#This Row],[Status]]=1,"Inactive","Active")</f>
        <v>Active</v>
      </c>
    </row>
    <row r="198" spans="1:19" hidden="1" x14ac:dyDescent="0.3">
      <c r="A198" s="1" t="s">
        <v>280</v>
      </c>
      <c r="B198" s="1" t="s">
        <v>51</v>
      </c>
      <c r="C198" s="1" t="s">
        <v>69</v>
      </c>
      <c r="D198" s="1" t="s">
        <v>28</v>
      </c>
      <c r="E198" s="1" t="s">
        <v>29</v>
      </c>
      <c r="F198">
        <v>30</v>
      </c>
      <c r="G198" t="s">
        <v>40</v>
      </c>
      <c r="H198" s="2">
        <v>43272</v>
      </c>
      <c r="I198">
        <v>56154</v>
      </c>
      <c r="J198">
        <v>0</v>
      </c>
      <c r="K198">
        <v>56154</v>
      </c>
      <c r="L198" s="1" t="s">
        <v>77</v>
      </c>
      <c r="M198" s="1" t="s">
        <v>148</v>
      </c>
      <c r="N198" s="2"/>
      <c r="O198">
        <v>197</v>
      </c>
      <c r="P198">
        <v>0</v>
      </c>
      <c r="Q198" t="s">
        <v>25</v>
      </c>
      <c r="R198">
        <f ca="1">DATEDIF(EMP_RAW_Data[[#This Row],[Hire Date]],IF(EMP_RAW_Data[[#This Row],[Exit Date]]="",TODAY(),EMP_RAW_Data[[#This Row],[Exit Date]]),"Y")</f>
        <v>7</v>
      </c>
      <c r="S198" t="str">
        <f>IF(EMP_RAW_Data[[#This Row],[Status]]=1,"Inactive","Active")</f>
        <v>Active</v>
      </c>
    </row>
    <row r="199" spans="1:19" hidden="1" x14ac:dyDescent="0.3">
      <c r="A199" s="1" t="s">
        <v>281</v>
      </c>
      <c r="B199" s="1" t="s">
        <v>68</v>
      </c>
      <c r="C199" s="1" t="s">
        <v>46</v>
      </c>
      <c r="D199" s="1" t="s">
        <v>28</v>
      </c>
      <c r="E199" s="1" t="s">
        <v>21</v>
      </c>
      <c r="F199">
        <v>36</v>
      </c>
      <c r="G199" t="s">
        <v>59</v>
      </c>
      <c r="H199" s="2">
        <v>41692</v>
      </c>
      <c r="I199">
        <v>218530</v>
      </c>
      <c r="J199">
        <v>0.3</v>
      </c>
      <c r="K199">
        <v>284089</v>
      </c>
      <c r="L199" s="1" t="s">
        <v>30</v>
      </c>
      <c r="M199" s="1" t="s">
        <v>65</v>
      </c>
      <c r="N199" s="2"/>
      <c r="O199">
        <v>198</v>
      </c>
      <c r="P199">
        <v>0</v>
      </c>
      <c r="Q199" t="s">
        <v>25</v>
      </c>
      <c r="R199">
        <f ca="1">DATEDIF(EMP_RAW_Data[[#This Row],[Hire Date]],IF(EMP_RAW_Data[[#This Row],[Exit Date]]="",TODAY(),EMP_RAW_Data[[#This Row],[Exit Date]]),"Y")</f>
        <v>12</v>
      </c>
      <c r="S199" t="str">
        <f>IF(EMP_RAW_Data[[#This Row],[Status]]=1,"Inactive","Active")</f>
        <v>Active</v>
      </c>
    </row>
    <row r="200" spans="1:19" hidden="1" x14ac:dyDescent="0.3">
      <c r="A200" s="1" t="s">
        <v>282</v>
      </c>
      <c r="B200" s="1" t="s">
        <v>278</v>
      </c>
      <c r="C200" s="1" t="s">
        <v>19</v>
      </c>
      <c r="D200" s="1" t="s">
        <v>28</v>
      </c>
      <c r="E200" s="1" t="s">
        <v>21</v>
      </c>
      <c r="F200">
        <v>36</v>
      </c>
      <c r="G200" t="s">
        <v>59</v>
      </c>
      <c r="H200" s="2">
        <v>43818</v>
      </c>
      <c r="I200">
        <v>91954</v>
      </c>
      <c r="J200">
        <v>0</v>
      </c>
      <c r="K200">
        <v>91954</v>
      </c>
      <c r="L200" s="1" t="s">
        <v>23</v>
      </c>
      <c r="M200" s="1" t="s">
        <v>74</v>
      </c>
      <c r="N200" s="2"/>
      <c r="O200">
        <v>199</v>
      </c>
      <c r="P200">
        <v>0</v>
      </c>
      <c r="Q200" t="s">
        <v>25</v>
      </c>
      <c r="R200">
        <f ca="1">DATEDIF(EMP_RAW_Data[[#This Row],[Hire Date]],IF(EMP_RAW_Data[[#This Row],[Exit Date]]="",TODAY(),EMP_RAW_Data[[#This Row],[Exit Date]]),"Y")</f>
        <v>6</v>
      </c>
      <c r="S200" t="str">
        <f>IF(EMP_RAW_Data[[#This Row],[Status]]=1,"Inactive","Active")</f>
        <v>Active</v>
      </c>
    </row>
    <row r="201" spans="1:19" x14ac:dyDescent="0.3">
      <c r="A201" s="1" t="s">
        <v>283</v>
      </c>
      <c r="B201" s="1" t="s">
        <v>68</v>
      </c>
      <c r="C201" s="1" t="s">
        <v>69</v>
      </c>
      <c r="D201" s="1" t="s">
        <v>47</v>
      </c>
      <c r="E201" s="1" t="s">
        <v>21</v>
      </c>
      <c r="F201">
        <v>30</v>
      </c>
      <c r="G201" t="s">
        <v>40</v>
      </c>
      <c r="H201" s="2">
        <v>42634</v>
      </c>
      <c r="I201">
        <v>221217</v>
      </c>
      <c r="J201">
        <v>0.32</v>
      </c>
      <c r="K201">
        <v>292006.44</v>
      </c>
      <c r="L201" s="1" t="s">
        <v>23</v>
      </c>
      <c r="M201" s="1" t="s">
        <v>74</v>
      </c>
      <c r="N201" s="2">
        <v>43003</v>
      </c>
      <c r="O201">
        <v>200</v>
      </c>
      <c r="P201">
        <v>1</v>
      </c>
      <c r="Q201" t="s">
        <v>25</v>
      </c>
      <c r="R201">
        <f ca="1">DATEDIF(EMP_RAW_Data[[#This Row],[Hire Date]],IF(EMP_RAW_Data[[#This Row],[Exit Date]]="",TODAY(),EMP_RAW_Data[[#This Row],[Exit Date]]),"Y")</f>
        <v>1</v>
      </c>
      <c r="S201" t="str">
        <f>IF(EMP_RAW_Data[[#This Row],[Status]]=1,"Inactive","Active")</f>
        <v>Inactive</v>
      </c>
    </row>
    <row r="202" spans="1:19" hidden="1" x14ac:dyDescent="0.3">
      <c r="A202" s="1" t="s">
        <v>284</v>
      </c>
      <c r="B202" s="1" t="s">
        <v>192</v>
      </c>
      <c r="C202" s="1" t="s">
        <v>19</v>
      </c>
      <c r="D202" s="1" t="s">
        <v>28</v>
      </c>
      <c r="E202" s="1" t="s">
        <v>29</v>
      </c>
      <c r="F202">
        <v>29</v>
      </c>
      <c r="G202" t="s">
        <v>40</v>
      </c>
      <c r="H202" s="2">
        <v>42866</v>
      </c>
      <c r="I202">
        <v>87536</v>
      </c>
      <c r="J202">
        <v>0</v>
      </c>
      <c r="K202">
        <v>87536</v>
      </c>
      <c r="L202" s="1" t="s">
        <v>23</v>
      </c>
      <c r="M202" s="1" t="s">
        <v>24</v>
      </c>
      <c r="N202" s="2"/>
      <c r="O202">
        <v>201</v>
      </c>
      <c r="P202">
        <v>0</v>
      </c>
      <c r="Q202" t="s">
        <v>25</v>
      </c>
      <c r="R202">
        <f ca="1">DATEDIF(EMP_RAW_Data[[#This Row],[Hire Date]],IF(EMP_RAW_Data[[#This Row],[Exit Date]]="",TODAY(),EMP_RAW_Data[[#This Row],[Exit Date]]),"Y")</f>
        <v>8</v>
      </c>
      <c r="S202" t="str">
        <f>IF(EMP_RAW_Data[[#This Row],[Status]]=1,"Inactive","Active")</f>
        <v>Active</v>
      </c>
    </row>
    <row r="203" spans="1:19" hidden="1" x14ac:dyDescent="0.3">
      <c r="A203" s="1" t="s">
        <v>285</v>
      </c>
      <c r="B203" s="1" t="s">
        <v>51</v>
      </c>
      <c r="C203" s="1" t="s">
        <v>46</v>
      </c>
      <c r="D203" s="1" t="s">
        <v>47</v>
      </c>
      <c r="E203" s="1" t="s">
        <v>21</v>
      </c>
      <c r="F203">
        <v>47</v>
      </c>
      <c r="G203" t="s">
        <v>36</v>
      </c>
      <c r="H203" s="2">
        <v>42164</v>
      </c>
      <c r="I203">
        <v>41429</v>
      </c>
      <c r="J203">
        <v>0</v>
      </c>
      <c r="K203">
        <v>41429</v>
      </c>
      <c r="L203" s="1" t="s">
        <v>23</v>
      </c>
      <c r="M203" s="1" t="s">
        <v>24</v>
      </c>
      <c r="N203" s="2"/>
      <c r="O203">
        <v>202</v>
      </c>
      <c r="P203">
        <v>0</v>
      </c>
      <c r="Q203" t="s">
        <v>25</v>
      </c>
      <c r="R203">
        <f ca="1">DATEDIF(EMP_RAW_Data[[#This Row],[Hire Date]],IF(EMP_RAW_Data[[#This Row],[Exit Date]]="",TODAY(),EMP_RAW_Data[[#This Row],[Exit Date]]),"Y")</f>
        <v>10</v>
      </c>
      <c r="S203" t="str">
        <f>IF(EMP_RAW_Data[[#This Row],[Status]]=1,"Inactive","Active")</f>
        <v>Active</v>
      </c>
    </row>
    <row r="204" spans="1:19" hidden="1" x14ac:dyDescent="0.3">
      <c r="A204" s="1" t="s">
        <v>286</v>
      </c>
      <c r="B204" s="1" t="s">
        <v>68</v>
      </c>
      <c r="C204" s="1" t="s">
        <v>62</v>
      </c>
      <c r="D204" s="1" t="s">
        <v>28</v>
      </c>
      <c r="E204" s="1" t="s">
        <v>29</v>
      </c>
      <c r="F204">
        <v>35</v>
      </c>
      <c r="G204" t="s">
        <v>59</v>
      </c>
      <c r="H204" s="2">
        <v>40826</v>
      </c>
      <c r="I204">
        <v>245482</v>
      </c>
      <c r="J204">
        <v>0.39</v>
      </c>
      <c r="K204">
        <v>341219.98</v>
      </c>
      <c r="L204" s="1" t="s">
        <v>23</v>
      </c>
      <c r="M204" s="1" t="s">
        <v>24</v>
      </c>
      <c r="N204" s="2"/>
      <c r="O204">
        <v>203</v>
      </c>
      <c r="P204">
        <v>0</v>
      </c>
      <c r="Q204" t="s">
        <v>25</v>
      </c>
      <c r="R204">
        <f ca="1">DATEDIF(EMP_RAW_Data[[#This Row],[Hire Date]],IF(EMP_RAW_Data[[#This Row],[Exit Date]]="",TODAY(),EMP_RAW_Data[[#This Row],[Exit Date]]),"Y")</f>
        <v>14</v>
      </c>
      <c r="S204" t="str">
        <f>IF(EMP_RAW_Data[[#This Row],[Status]]=1,"Inactive","Active")</f>
        <v>Active</v>
      </c>
    </row>
    <row r="205" spans="1:19" hidden="1" x14ac:dyDescent="0.3">
      <c r="A205" s="1" t="s">
        <v>287</v>
      </c>
      <c r="B205" s="1" t="s">
        <v>180</v>
      </c>
      <c r="C205" s="1" t="s">
        <v>62</v>
      </c>
      <c r="D205" s="1" t="s">
        <v>28</v>
      </c>
      <c r="E205" s="1" t="s">
        <v>21</v>
      </c>
      <c r="F205">
        <v>25</v>
      </c>
      <c r="G205" t="s">
        <v>40</v>
      </c>
      <c r="H205" s="2">
        <v>43850</v>
      </c>
      <c r="I205">
        <v>71359</v>
      </c>
      <c r="J205">
        <v>0</v>
      </c>
      <c r="K205">
        <v>71359</v>
      </c>
      <c r="L205" s="1" t="s">
        <v>23</v>
      </c>
      <c r="M205" s="1" t="s">
        <v>43</v>
      </c>
      <c r="N205" s="2"/>
      <c r="O205">
        <v>204</v>
      </c>
      <c r="P205">
        <v>0</v>
      </c>
      <c r="Q205" t="s">
        <v>25</v>
      </c>
      <c r="R205">
        <f ca="1">DATEDIF(EMP_RAW_Data[[#This Row],[Hire Date]],IF(EMP_RAW_Data[[#This Row],[Exit Date]]="",TODAY(),EMP_RAW_Data[[#This Row],[Exit Date]]),"Y")</f>
        <v>6</v>
      </c>
      <c r="S205" t="str">
        <f>IF(EMP_RAW_Data[[#This Row],[Status]]=1,"Inactive","Active")</f>
        <v>Active</v>
      </c>
    </row>
    <row r="206" spans="1:19" hidden="1" x14ac:dyDescent="0.3">
      <c r="A206" s="1" t="s">
        <v>288</v>
      </c>
      <c r="B206" s="1" t="s">
        <v>33</v>
      </c>
      <c r="C206" s="1" t="s">
        <v>62</v>
      </c>
      <c r="D206" s="1" t="s">
        <v>35</v>
      </c>
      <c r="E206" s="1" t="s">
        <v>29</v>
      </c>
      <c r="F206">
        <v>45</v>
      </c>
      <c r="G206" t="s">
        <v>36</v>
      </c>
      <c r="H206" s="2">
        <v>41879</v>
      </c>
      <c r="I206">
        <v>183161</v>
      </c>
      <c r="J206">
        <v>0.22</v>
      </c>
      <c r="K206">
        <v>223456.41999999998</v>
      </c>
      <c r="L206" s="1" t="s">
        <v>23</v>
      </c>
      <c r="M206" s="1" t="s">
        <v>52</v>
      </c>
      <c r="N206" s="2"/>
      <c r="O206">
        <v>205</v>
      </c>
      <c r="P206">
        <v>0</v>
      </c>
      <c r="Q206" t="s">
        <v>25</v>
      </c>
      <c r="R206">
        <f ca="1">DATEDIF(EMP_RAW_Data[[#This Row],[Hire Date]],IF(EMP_RAW_Data[[#This Row],[Exit Date]]="",TODAY(),EMP_RAW_Data[[#This Row],[Exit Date]]),"Y")</f>
        <v>11</v>
      </c>
      <c r="S206" t="str">
        <f>IF(EMP_RAW_Data[[#This Row],[Status]]=1,"Inactive","Active")</f>
        <v>Active</v>
      </c>
    </row>
    <row r="207" spans="1:19" hidden="1" x14ac:dyDescent="0.3">
      <c r="A207" s="1" t="s">
        <v>289</v>
      </c>
      <c r="B207" s="1" t="s">
        <v>290</v>
      </c>
      <c r="C207" s="1" t="s">
        <v>19</v>
      </c>
      <c r="D207" s="1" t="s">
        <v>47</v>
      </c>
      <c r="E207" s="1" t="s">
        <v>29</v>
      </c>
      <c r="F207">
        <v>58</v>
      </c>
      <c r="G207" t="s">
        <v>22</v>
      </c>
      <c r="H207" s="2">
        <v>34176</v>
      </c>
      <c r="I207">
        <v>69260</v>
      </c>
      <c r="J207">
        <v>0</v>
      </c>
      <c r="K207">
        <v>69260</v>
      </c>
      <c r="L207" s="1" t="s">
        <v>23</v>
      </c>
      <c r="M207" s="1" t="s">
        <v>43</v>
      </c>
      <c r="N207" s="2"/>
      <c r="O207">
        <v>206</v>
      </c>
      <c r="P207">
        <v>0</v>
      </c>
      <c r="Q207" t="s">
        <v>25</v>
      </c>
      <c r="R207">
        <f ca="1">DATEDIF(EMP_RAW_Data[[#This Row],[Hire Date]],IF(EMP_RAW_Data[[#This Row],[Exit Date]]="",TODAY(),EMP_RAW_Data[[#This Row],[Exit Date]]),"Y")</f>
        <v>32</v>
      </c>
      <c r="S207" t="str">
        <f>IF(EMP_RAW_Data[[#This Row],[Status]]=1,"Inactive","Active")</f>
        <v>Active</v>
      </c>
    </row>
    <row r="208" spans="1:19" hidden="1" x14ac:dyDescent="0.3">
      <c r="A208" s="1" t="s">
        <v>291</v>
      </c>
      <c r="B208" s="1" t="s">
        <v>128</v>
      </c>
      <c r="C208" s="1" t="s">
        <v>62</v>
      </c>
      <c r="D208" s="1" t="s">
        <v>35</v>
      </c>
      <c r="E208" s="1" t="s">
        <v>29</v>
      </c>
      <c r="F208">
        <v>51</v>
      </c>
      <c r="G208" t="s">
        <v>36</v>
      </c>
      <c r="H208" s="2">
        <v>36442</v>
      </c>
      <c r="I208">
        <v>95639</v>
      </c>
      <c r="J208">
        <v>0</v>
      </c>
      <c r="K208">
        <v>95639</v>
      </c>
      <c r="L208" s="1" t="s">
        <v>23</v>
      </c>
      <c r="M208" s="1" t="s">
        <v>55</v>
      </c>
      <c r="N208" s="2"/>
      <c r="O208">
        <v>207</v>
      </c>
      <c r="P208">
        <v>0</v>
      </c>
      <c r="Q208" t="s">
        <v>25</v>
      </c>
      <c r="R208">
        <f ca="1">DATEDIF(EMP_RAW_Data[[#This Row],[Hire Date]],IF(EMP_RAW_Data[[#This Row],[Exit Date]]="",TODAY(),EMP_RAW_Data[[#This Row],[Exit Date]]),"Y")</f>
        <v>26</v>
      </c>
      <c r="S208" t="str">
        <f>IF(EMP_RAW_Data[[#This Row],[Status]]=1,"Inactive","Active")</f>
        <v>Active</v>
      </c>
    </row>
    <row r="209" spans="1:19" hidden="1" x14ac:dyDescent="0.3">
      <c r="A209" s="1" t="s">
        <v>292</v>
      </c>
      <c r="B209" s="1" t="s">
        <v>49</v>
      </c>
      <c r="C209" s="1" t="s">
        <v>58</v>
      </c>
      <c r="D209" s="1" t="s">
        <v>20</v>
      </c>
      <c r="E209" s="1" t="s">
        <v>29</v>
      </c>
      <c r="F209">
        <v>48</v>
      </c>
      <c r="G209" t="s">
        <v>36</v>
      </c>
      <c r="H209" s="2">
        <v>38168</v>
      </c>
      <c r="I209">
        <v>120660</v>
      </c>
      <c r="J209">
        <v>7.0000000000000007E-2</v>
      </c>
      <c r="K209">
        <v>129106.2</v>
      </c>
      <c r="L209" s="1" t="s">
        <v>30</v>
      </c>
      <c r="M209" s="1" t="s">
        <v>102</v>
      </c>
      <c r="N209" s="2"/>
      <c r="O209">
        <v>208</v>
      </c>
      <c r="P209">
        <v>0</v>
      </c>
      <c r="Q209" t="s">
        <v>25</v>
      </c>
      <c r="R209">
        <f ca="1">DATEDIF(EMP_RAW_Data[[#This Row],[Hire Date]],IF(EMP_RAW_Data[[#This Row],[Exit Date]]="",TODAY(),EMP_RAW_Data[[#This Row],[Exit Date]]),"Y")</f>
        <v>21</v>
      </c>
      <c r="S209" t="str">
        <f>IF(EMP_RAW_Data[[#This Row],[Status]]=1,"Inactive","Active")</f>
        <v>Active</v>
      </c>
    </row>
    <row r="210" spans="1:19" hidden="1" x14ac:dyDescent="0.3">
      <c r="A210" s="1" t="s">
        <v>293</v>
      </c>
      <c r="B210" s="1" t="s">
        <v>42</v>
      </c>
      <c r="C210" s="1" t="s">
        <v>46</v>
      </c>
      <c r="D210" s="1" t="s">
        <v>47</v>
      </c>
      <c r="E210" s="1" t="s">
        <v>29</v>
      </c>
      <c r="F210">
        <v>36</v>
      </c>
      <c r="G210" t="s">
        <v>59</v>
      </c>
      <c r="H210" s="2">
        <v>44556</v>
      </c>
      <c r="I210">
        <v>75119</v>
      </c>
      <c r="J210">
        <v>0</v>
      </c>
      <c r="K210">
        <v>75119</v>
      </c>
      <c r="L210" s="1" t="s">
        <v>23</v>
      </c>
      <c r="M210" s="1" t="s">
        <v>37</v>
      </c>
      <c r="N210" s="2"/>
      <c r="O210">
        <v>209</v>
      </c>
      <c r="P210">
        <v>0</v>
      </c>
      <c r="Q210" t="s">
        <v>25</v>
      </c>
      <c r="R210">
        <f ca="1">DATEDIF(EMP_RAW_Data[[#This Row],[Hire Date]],IF(EMP_RAW_Data[[#This Row],[Exit Date]]="",TODAY(),EMP_RAW_Data[[#This Row],[Exit Date]]),"Y")</f>
        <v>4</v>
      </c>
      <c r="S210" t="str">
        <f>IF(EMP_RAW_Data[[#This Row],[Status]]=1,"Inactive","Active")</f>
        <v>Active</v>
      </c>
    </row>
    <row r="211" spans="1:19" hidden="1" x14ac:dyDescent="0.3">
      <c r="A211" s="1" t="s">
        <v>294</v>
      </c>
      <c r="B211" s="1" t="s">
        <v>68</v>
      </c>
      <c r="C211" s="1" t="s">
        <v>54</v>
      </c>
      <c r="D211" s="1" t="s">
        <v>20</v>
      </c>
      <c r="E211" s="1" t="s">
        <v>29</v>
      </c>
      <c r="F211">
        <v>59</v>
      </c>
      <c r="G211" t="s">
        <v>22</v>
      </c>
      <c r="H211" s="2">
        <v>40681</v>
      </c>
      <c r="I211">
        <v>192213</v>
      </c>
      <c r="J211">
        <v>0.4</v>
      </c>
      <c r="K211">
        <v>269098.2</v>
      </c>
      <c r="L211" s="1" t="s">
        <v>23</v>
      </c>
      <c r="M211" s="1" t="s">
        <v>37</v>
      </c>
      <c r="N211" s="2"/>
      <c r="O211">
        <v>210</v>
      </c>
      <c r="P211">
        <v>0</v>
      </c>
      <c r="Q211" t="s">
        <v>25</v>
      </c>
      <c r="R211">
        <f ca="1">DATEDIF(EMP_RAW_Data[[#This Row],[Hire Date]],IF(EMP_RAW_Data[[#This Row],[Exit Date]]="",TODAY(),EMP_RAW_Data[[#This Row],[Exit Date]]),"Y")</f>
        <v>14</v>
      </c>
      <c r="S211" t="str">
        <f>IF(EMP_RAW_Data[[#This Row],[Status]]=1,"Inactive","Active")</f>
        <v>Active</v>
      </c>
    </row>
    <row r="212" spans="1:19" hidden="1" x14ac:dyDescent="0.3">
      <c r="A212" s="1" t="s">
        <v>295</v>
      </c>
      <c r="B212" s="1" t="s">
        <v>45</v>
      </c>
      <c r="C212" s="1" t="s">
        <v>46</v>
      </c>
      <c r="D212" s="1" t="s">
        <v>35</v>
      </c>
      <c r="E212" s="1" t="s">
        <v>21</v>
      </c>
      <c r="F212">
        <v>45</v>
      </c>
      <c r="G212" t="s">
        <v>36</v>
      </c>
      <c r="H212" s="2">
        <v>41769</v>
      </c>
      <c r="I212">
        <v>65047</v>
      </c>
      <c r="J212">
        <v>0</v>
      </c>
      <c r="K212">
        <v>65047</v>
      </c>
      <c r="L212" s="1" t="s">
        <v>77</v>
      </c>
      <c r="M212" s="1" t="s">
        <v>148</v>
      </c>
      <c r="N212" s="2"/>
      <c r="O212">
        <v>211</v>
      </c>
      <c r="P212">
        <v>0</v>
      </c>
      <c r="Q212" t="s">
        <v>25</v>
      </c>
      <c r="R212">
        <f ca="1">DATEDIF(EMP_RAW_Data[[#This Row],[Hire Date]],IF(EMP_RAW_Data[[#This Row],[Exit Date]]="",TODAY(),EMP_RAW_Data[[#This Row],[Exit Date]]),"Y")</f>
        <v>11</v>
      </c>
      <c r="S212" t="str">
        <f>IF(EMP_RAW_Data[[#This Row],[Status]]=1,"Inactive","Active")</f>
        <v>Active</v>
      </c>
    </row>
    <row r="213" spans="1:19" hidden="1" x14ac:dyDescent="0.3">
      <c r="A213" s="1" t="s">
        <v>296</v>
      </c>
      <c r="B213" s="1" t="s">
        <v>18</v>
      </c>
      <c r="C213" s="1" t="s">
        <v>46</v>
      </c>
      <c r="D213" s="1" t="s">
        <v>28</v>
      </c>
      <c r="E213" s="1" t="s">
        <v>29</v>
      </c>
      <c r="F213">
        <v>29</v>
      </c>
      <c r="G213" t="s">
        <v>40</v>
      </c>
      <c r="H213" s="2">
        <v>42810</v>
      </c>
      <c r="I213">
        <v>151413</v>
      </c>
      <c r="J213">
        <v>0.15</v>
      </c>
      <c r="K213">
        <v>174124.95</v>
      </c>
      <c r="L213" s="1" t="s">
        <v>23</v>
      </c>
      <c r="M213" s="1" t="s">
        <v>24</v>
      </c>
      <c r="N213" s="2"/>
      <c r="O213">
        <v>212</v>
      </c>
      <c r="P213">
        <v>0</v>
      </c>
      <c r="Q213" t="s">
        <v>25</v>
      </c>
      <c r="R213">
        <f ca="1">DATEDIF(EMP_RAW_Data[[#This Row],[Hire Date]],IF(EMP_RAW_Data[[#This Row],[Exit Date]]="",TODAY(),EMP_RAW_Data[[#This Row],[Exit Date]]),"Y")</f>
        <v>9</v>
      </c>
      <c r="S213" t="str">
        <f>IF(EMP_RAW_Data[[#This Row],[Status]]=1,"Inactive","Active")</f>
        <v>Active</v>
      </c>
    </row>
    <row r="214" spans="1:19" hidden="1" x14ac:dyDescent="0.3">
      <c r="A214" s="1" t="s">
        <v>297</v>
      </c>
      <c r="B214" s="1" t="s">
        <v>42</v>
      </c>
      <c r="C214" s="1" t="s">
        <v>54</v>
      </c>
      <c r="D214" s="1" t="s">
        <v>35</v>
      </c>
      <c r="E214" s="1" t="s">
        <v>29</v>
      </c>
      <c r="F214">
        <v>62</v>
      </c>
      <c r="G214" t="s">
        <v>22</v>
      </c>
      <c r="H214" s="2">
        <v>37733</v>
      </c>
      <c r="I214">
        <v>76906</v>
      </c>
      <c r="J214">
        <v>0</v>
      </c>
      <c r="K214">
        <v>76906</v>
      </c>
      <c r="L214" s="1" t="s">
        <v>23</v>
      </c>
      <c r="M214" s="1" t="s">
        <v>24</v>
      </c>
      <c r="N214" s="2"/>
      <c r="O214">
        <v>213</v>
      </c>
      <c r="P214">
        <v>0</v>
      </c>
      <c r="Q214" t="s">
        <v>25</v>
      </c>
      <c r="R214">
        <f ca="1">DATEDIF(EMP_RAW_Data[[#This Row],[Hire Date]],IF(EMP_RAW_Data[[#This Row],[Exit Date]]="",TODAY(),EMP_RAW_Data[[#This Row],[Exit Date]]),"Y")</f>
        <v>22</v>
      </c>
      <c r="S214" t="str">
        <f>IF(EMP_RAW_Data[[#This Row],[Status]]=1,"Inactive","Active")</f>
        <v>Active</v>
      </c>
    </row>
    <row r="215" spans="1:19" hidden="1" x14ac:dyDescent="0.3">
      <c r="A215" s="1" t="s">
        <v>298</v>
      </c>
      <c r="B215" s="1" t="s">
        <v>49</v>
      </c>
      <c r="C215" s="1" t="s">
        <v>19</v>
      </c>
      <c r="D215" s="1" t="s">
        <v>47</v>
      </c>
      <c r="E215" s="1" t="s">
        <v>29</v>
      </c>
      <c r="F215">
        <v>51</v>
      </c>
      <c r="G215" t="s">
        <v>36</v>
      </c>
      <c r="H215" s="2">
        <v>34388</v>
      </c>
      <c r="I215">
        <v>122802</v>
      </c>
      <c r="J215">
        <v>0.05</v>
      </c>
      <c r="K215">
        <v>128942.1</v>
      </c>
      <c r="L215" s="1" t="s">
        <v>30</v>
      </c>
      <c r="M215" s="1" t="s">
        <v>65</v>
      </c>
      <c r="N215" s="2"/>
      <c r="O215">
        <v>214</v>
      </c>
      <c r="P215">
        <v>0</v>
      </c>
      <c r="Q215" t="s">
        <v>25</v>
      </c>
      <c r="R215">
        <f ca="1">DATEDIF(EMP_RAW_Data[[#This Row],[Hire Date]],IF(EMP_RAW_Data[[#This Row],[Exit Date]]="",TODAY(),EMP_RAW_Data[[#This Row],[Exit Date]]),"Y")</f>
        <v>32</v>
      </c>
      <c r="S215" t="str">
        <f>IF(EMP_RAW_Data[[#This Row],[Status]]=1,"Inactive","Active")</f>
        <v>Active</v>
      </c>
    </row>
    <row r="216" spans="1:19" hidden="1" x14ac:dyDescent="0.3">
      <c r="A216" s="1" t="s">
        <v>299</v>
      </c>
      <c r="B216" s="1" t="s">
        <v>180</v>
      </c>
      <c r="C216" s="1" t="s">
        <v>62</v>
      </c>
      <c r="D216" s="1" t="s">
        <v>20</v>
      </c>
      <c r="E216" s="1" t="s">
        <v>29</v>
      </c>
      <c r="F216">
        <v>47</v>
      </c>
      <c r="G216" t="s">
        <v>36</v>
      </c>
      <c r="H216" s="2">
        <v>35990</v>
      </c>
      <c r="I216">
        <v>99091</v>
      </c>
      <c r="J216">
        <v>0</v>
      </c>
      <c r="K216">
        <v>99091</v>
      </c>
      <c r="L216" s="1" t="s">
        <v>23</v>
      </c>
      <c r="M216" s="1" t="s">
        <v>55</v>
      </c>
      <c r="N216" s="2"/>
      <c r="O216">
        <v>215</v>
      </c>
      <c r="P216">
        <v>0</v>
      </c>
      <c r="Q216" t="s">
        <v>25</v>
      </c>
      <c r="R216">
        <f ca="1">DATEDIF(EMP_RAW_Data[[#This Row],[Hire Date]],IF(EMP_RAW_Data[[#This Row],[Exit Date]]="",TODAY(),EMP_RAW_Data[[#This Row],[Exit Date]]),"Y")</f>
        <v>27</v>
      </c>
      <c r="S216" t="str">
        <f>IF(EMP_RAW_Data[[#This Row],[Status]]=1,"Inactive","Active")</f>
        <v>Active</v>
      </c>
    </row>
    <row r="217" spans="1:19" hidden="1" x14ac:dyDescent="0.3">
      <c r="A217" s="1" t="s">
        <v>300</v>
      </c>
      <c r="B217" s="1" t="s">
        <v>61</v>
      </c>
      <c r="C217" s="1" t="s">
        <v>62</v>
      </c>
      <c r="D217" s="1" t="s">
        <v>28</v>
      </c>
      <c r="E217" s="1" t="s">
        <v>29</v>
      </c>
      <c r="F217">
        <v>40</v>
      </c>
      <c r="G217" t="s">
        <v>59</v>
      </c>
      <c r="H217" s="2">
        <v>39506</v>
      </c>
      <c r="I217">
        <v>113987</v>
      </c>
      <c r="J217">
        <v>0</v>
      </c>
      <c r="K217">
        <v>113987</v>
      </c>
      <c r="L217" s="1" t="s">
        <v>77</v>
      </c>
      <c r="M217" s="1" t="s">
        <v>78</v>
      </c>
      <c r="N217" s="2"/>
      <c r="O217">
        <v>216</v>
      </c>
      <c r="P217">
        <v>0</v>
      </c>
      <c r="Q217" t="s">
        <v>25</v>
      </c>
      <c r="R217">
        <f ca="1">DATEDIF(EMP_RAW_Data[[#This Row],[Hire Date]],IF(EMP_RAW_Data[[#This Row],[Exit Date]]="",TODAY(),EMP_RAW_Data[[#This Row],[Exit Date]]),"Y")</f>
        <v>18</v>
      </c>
      <c r="S217" t="str">
        <f>IF(EMP_RAW_Data[[#This Row],[Status]]=1,"Inactive","Active")</f>
        <v>Active</v>
      </c>
    </row>
    <row r="218" spans="1:19" hidden="1" x14ac:dyDescent="0.3">
      <c r="A218" s="1" t="s">
        <v>301</v>
      </c>
      <c r="B218" s="1" t="s">
        <v>42</v>
      </c>
      <c r="C218" s="1" t="s">
        <v>34</v>
      </c>
      <c r="D218" s="1" t="s">
        <v>47</v>
      </c>
      <c r="E218" s="1" t="s">
        <v>21</v>
      </c>
      <c r="F218">
        <v>28</v>
      </c>
      <c r="G218" t="s">
        <v>40</v>
      </c>
      <c r="H218" s="2">
        <v>44078</v>
      </c>
      <c r="I218">
        <v>95045</v>
      </c>
      <c r="J218">
        <v>0</v>
      </c>
      <c r="K218">
        <v>95045</v>
      </c>
      <c r="L218" s="1" t="s">
        <v>23</v>
      </c>
      <c r="M218" s="1" t="s">
        <v>37</v>
      </c>
      <c r="N218" s="2"/>
      <c r="O218">
        <v>217</v>
      </c>
      <c r="P218">
        <v>0</v>
      </c>
      <c r="Q218" t="s">
        <v>25</v>
      </c>
      <c r="R218">
        <f ca="1">DATEDIF(EMP_RAW_Data[[#This Row],[Hire Date]],IF(EMP_RAW_Data[[#This Row],[Exit Date]]="",TODAY(),EMP_RAW_Data[[#This Row],[Exit Date]]),"Y")</f>
        <v>5</v>
      </c>
      <c r="S218" t="str">
        <f>IF(EMP_RAW_Data[[#This Row],[Status]]=1,"Inactive","Active")</f>
        <v>Active</v>
      </c>
    </row>
    <row r="219" spans="1:19" hidden="1" x14ac:dyDescent="0.3">
      <c r="A219" s="1" t="s">
        <v>302</v>
      </c>
      <c r="B219" s="1" t="s">
        <v>68</v>
      </c>
      <c r="C219" s="1" t="s">
        <v>69</v>
      </c>
      <c r="D219" s="1" t="s">
        <v>35</v>
      </c>
      <c r="E219" s="1" t="s">
        <v>21</v>
      </c>
      <c r="F219">
        <v>29</v>
      </c>
      <c r="G219" t="s">
        <v>40</v>
      </c>
      <c r="H219" s="2">
        <v>42740</v>
      </c>
      <c r="I219">
        <v>190401</v>
      </c>
      <c r="J219">
        <v>0.37</v>
      </c>
      <c r="K219">
        <v>260849.37</v>
      </c>
      <c r="L219" s="1" t="s">
        <v>23</v>
      </c>
      <c r="M219" s="1" t="s">
        <v>74</v>
      </c>
      <c r="N219" s="2"/>
      <c r="O219">
        <v>218</v>
      </c>
      <c r="P219">
        <v>0</v>
      </c>
      <c r="Q219" t="s">
        <v>25</v>
      </c>
      <c r="R219">
        <f ca="1">DATEDIF(EMP_RAW_Data[[#This Row],[Hire Date]],IF(EMP_RAW_Data[[#This Row],[Exit Date]]="",TODAY(),EMP_RAW_Data[[#This Row],[Exit Date]]),"Y")</f>
        <v>9</v>
      </c>
      <c r="S219" t="str">
        <f>IF(EMP_RAW_Data[[#This Row],[Status]]=1,"Inactive","Active")</f>
        <v>Active</v>
      </c>
    </row>
    <row r="220" spans="1:19" hidden="1" x14ac:dyDescent="0.3">
      <c r="A220" s="1" t="s">
        <v>303</v>
      </c>
      <c r="B220" s="1" t="s">
        <v>42</v>
      </c>
      <c r="C220" s="1" t="s">
        <v>34</v>
      </c>
      <c r="D220" s="1" t="s">
        <v>47</v>
      </c>
      <c r="E220" s="1" t="s">
        <v>29</v>
      </c>
      <c r="F220">
        <v>46</v>
      </c>
      <c r="G220" t="s">
        <v>36</v>
      </c>
      <c r="H220" s="2">
        <v>41294</v>
      </c>
      <c r="I220">
        <v>86061</v>
      </c>
      <c r="J220">
        <v>0</v>
      </c>
      <c r="K220">
        <v>86061</v>
      </c>
      <c r="L220" s="1" t="s">
        <v>77</v>
      </c>
      <c r="M220" s="1" t="s">
        <v>81</v>
      </c>
      <c r="N220" s="2"/>
      <c r="O220">
        <v>219</v>
      </c>
      <c r="P220">
        <v>0</v>
      </c>
      <c r="Q220" t="s">
        <v>25</v>
      </c>
      <c r="R220">
        <f ca="1">DATEDIF(EMP_RAW_Data[[#This Row],[Hire Date]],IF(EMP_RAW_Data[[#This Row],[Exit Date]]="",TODAY(),EMP_RAW_Data[[#This Row],[Exit Date]]),"Y")</f>
        <v>13</v>
      </c>
      <c r="S220" t="str">
        <f>IF(EMP_RAW_Data[[#This Row],[Status]]=1,"Inactive","Active")</f>
        <v>Active</v>
      </c>
    </row>
    <row r="221" spans="1:19" hidden="1" x14ac:dyDescent="0.3">
      <c r="A221" s="1" t="s">
        <v>304</v>
      </c>
      <c r="B221" s="1" t="s">
        <v>189</v>
      </c>
      <c r="C221" s="1" t="s">
        <v>46</v>
      </c>
      <c r="D221" s="1" t="s">
        <v>35</v>
      </c>
      <c r="E221" s="1" t="s">
        <v>29</v>
      </c>
      <c r="F221">
        <v>45</v>
      </c>
      <c r="G221" t="s">
        <v>36</v>
      </c>
      <c r="H221" s="2">
        <v>44237</v>
      </c>
      <c r="I221">
        <v>79882</v>
      </c>
      <c r="J221">
        <v>0</v>
      </c>
      <c r="K221">
        <v>79882</v>
      </c>
      <c r="L221" s="1" t="s">
        <v>23</v>
      </c>
      <c r="M221" s="1" t="s">
        <v>43</v>
      </c>
      <c r="N221" s="2"/>
      <c r="O221">
        <v>220</v>
      </c>
      <c r="P221">
        <v>0</v>
      </c>
      <c r="Q221" t="s">
        <v>25</v>
      </c>
      <c r="R221">
        <f ca="1">DATEDIF(EMP_RAW_Data[[#This Row],[Hire Date]],IF(EMP_RAW_Data[[#This Row],[Exit Date]]="",TODAY(),EMP_RAW_Data[[#This Row],[Exit Date]]),"Y")</f>
        <v>5</v>
      </c>
      <c r="S221" t="str">
        <f>IF(EMP_RAW_Data[[#This Row],[Status]]=1,"Inactive","Active")</f>
        <v>Active</v>
      </c>
    </row>
    <row r="222" spans="1:19" hidden="1" x14ac:dyDescent="0.3">
      <c r="A222" s="1" t="s">
        <v>305</v>
      </c>
      <c r="B222" s="1" t="s">
        <v>68</v>
      </c>
      <c r="C222" s="1" t="s">
        <v>62</v>
      </c>
      <c r="D222" s="1" t="s">
        <v>28</v>
      </c>
      <c r="E222" s="1" t="s">
        <v>21</v>
      </c>
      <c r="F222">
        <v>30</v>
      </c>
      <c r="G222" t="s">
        <v>40</v>
      </c>
      <c r="H222" s="2">
        <v>43165</v>
      </c>
      <c r="I222">
        <v>255431</v>
      </c>
      <c r="J222">
        <v>0.36</v>
      </c>
      <c r="K222">
        <v>347386.16000000003</v>
      </c>
      <c r="L222" s="1" t="s">
        <v>23</v>
      </c>
      <c r="M222" s="1" t="s">
        <v>74</v>
      </c>
      <c r="N222" s="2"/>
      <c r="O222">
        <v>221</v>
      </c>
      <c r="P222">
        <v>0</v>
      </c>
      <c r="Q222" t="s">
        <v>25</v>
      </c>
      <c r="R222">
        <f ca="1">DATEDIF(EMP_RAW_Data[[#This Row],[Hire Date]],IF(EMP_RAW_Data[[#This Row],[Exit Date]]="",TODAY(),EMP_RAW_Data[[#This Row],[Exit Date]]),"Y")</f>
        <v>8</v>
      </c>
      <c r="S222" t="str">
        <f>IF(EMP_RAW_Data[[#This Row],[Status]]=1,"Inactive","Active")</f>
        <v>Active</v>
      </c>
    </row>
    <row r="223" spans="1:19" hidden="1" x14ac:dyDescent="0.3">
      <c r="A223" s="1" t="s">
        <v>306</v>
      </c>
      <c r="B223" s="1" t="s">
        <v>278</v>
      </c>
      <c r="C223" s="1" t="s">
        <v>19</v>
      </c>
      <c r="D223" s="1" t="s">
        <v>28</v>
      </c>
      <c r="E223" s="1" t="s">
        <v>21</v>
      </c>
      <c r="F223">
        <v>48</v>
      </c>
      <c r="G223" t="s">
        <v>36</v>
      </c>
      <c r="H223" s="2">
        <v>37855</v>
      </c>
      <c r="I223">
        <v>82017</v>
      </c>
      <c r="J223">
        <v>0</v>
      </c>
      <c r="K223">
        <v>82017</v>
      </c>
      <c r="L223" s="1" t="s">
        <v>30</v>
      </c>
      <c r="M223" s="1" t="s">
        <v>90</v>
      </c>
      <c r="N223" s="2"/>
      <c r="O223">
        <v>222</v>
      </c>
      <c r="P223">
        <v>0</v>
      </c>
      <c r="Q223" t="s">
        <v>25</v>
      </c>
      <c r="R223">
        <f ca="1">DATEDIF(EMP_RAW_Data[[#This Row],[Hire Date]],IF(EMP_RAW_Data[[#This Row],[Exit Date]]="",TODAY(),EMP_RAW_Data[[#This Row],[Exit Date]]),"Y")</f>
        <v>22</v>
      </c>
      <c r="S223" t="str">
        <f>IF(EMP_RAW_Data[[#This Row],[Status]]=1,"Inactive","Active")</f>
        <v>Active</v>
      </c>
    </row>
    <row r="224" spans="1:19" hidden="1" x14ac:dyDescent="0.3">
      <c r="A224" s="1" t="s">
        <v>307</v>
      </c>
      <c r="B224" s="1" t="s">
        <v>51</v>
      </c>
      <c r="C224" s="1" t="s">
        <v>34</v>
      </c>
      <c r="D224" s="1" t="s">
        <v>28</v>
      </c>
      <c r="E224" s="1" t="s">
        <v>21</v>
      </c>
      <c r="F224">
        <v>51</v>
      </c>
      <c r="G224" t="s">
        <v>36</v>
      </c>
      <c r="H224" s="2">
        <v>42753</v>
      </c>
      <c r="I224">
        <v>53799</v>
      </c>
      <c r="J224">
        <v>0</v>
      </c>
      <c r="K224">
        <v>53799</v>
      </c>
      <c r="L224" s="1" t="s">
        <v>23</v>
      </c>
      <c r="M224" s="1" t="s">
        <v>74</v>
      </c>
      <c r="N224" s="2"/>
      <c r="O224">
        <v>223</v>
      </c>
      <c r="P224">
        <v>0</v>
      </c>
      <c r="Q224" t="s">
        <v>25</v>
      </c>
      <c r="R224">
        <f ca="1">DATEDIF(EMP_RAW_Data[[#This Row],[Hire Date]],IF(EMP_RAW_Data[[#This Row],[Exit Date]]="",TODAY(),EMP_RAW_Data[[#This Row],[Exit Date]]),"Y")</f>
        <v>9</v>
      </c>
      <c r="S224" t="str">
        <f>IF(EMP_RAW_Data[[#This Row],[Status]]=1,"Inactive","Active")</f>
        <v>Active</v>
      </c>
    </row>
    <row r="225" spans="1:19" hidden="1" x14ac:dyDescent="0.3">
      <c r="A225" s="1" t="s">
        <v>308</v>
      </c>
      <c r="B225" s="1" t="s">
        <v>42</v>
      </c>
      <c r="C225" s="1" t="s">
        <v>46</v>
      </c>
      <c r="D225" s="1" t="s">
        <v>47</v>
      </c>
      <c r="E225" s="1" t="s">
        <v>21</v>
      </c>
      <c r="F225">
        <v>28</v>
      </c>
      <c r="G225" t="s">
        <v>40</v>
      </c>
      <c r="H225" s="2">
        <v>44380</v>
      </c>
      <c r="I225">
        <v>82739</v>
      </c>
      <c r="J225">
        <v>0</v>
      </c>
      <c r="K225">
        <v>82739</v>
      </c>
      <c r="L225" s="1" t="s">
        <v>23</v>
      </c>
      <c r="M225" s="1" t="s">
        <v>43</v>
      </c>
      <c r="N225" s="2"/>
      <c r="O225">
        <v>224</v>
      </c>
      <c r="P225">
        <v>0</v>
      </c>
      <c r="Q225" t="s">
        <v>25</v>
      </c>
      <c r="R225">
        <f ca="1">DATEDIF(EMP_RAW_Data[[#This Row],[Hire Date]],IF(EMP_RAW_Data[[#This Row],[Exit Date]]="",TODAY(),EMP_RAW_Data[[#This Row],[Exit Date]]),"Y")</f>
        <v>4</v>
      </c>
      <c r="S225" t="str">
        <f>IF(EMP_RAW_Data[[#This Row],[Status]]=1,"Inactive","Active")</f>
        <v>Active</v>
      </c>
    </row>
    <row r="226" spans="1:19" hidden="1" x14ac:dyDescent="0.3">
      <c r="A226" s="1" t="s">
        <v>309</v>
      </c>
      <c r="B226" s="1" t="s">
        <v>142</v>
      </c>
      <c r="C226" s="1" t="s">
        <v>19</v>
      </c>
      <c r="D226" s="1" t="s">
        <v>28</v>
      </c>
      <c r="E226" s="1" t="s">
        <v>21</v>
      </c>
      <c r="F226">
        <v>36</v>
      </c>
      <c r="G226" t="s">
        <v>59</v>
      </c>
      <c r="H226" s="2">
        <v>41789</v>
      </c>
      <c r="I226">
        <v>99080</v>
      </c>
      <c r="J226">
        <v>0</v>
      </c>
      <c r="K226">
        <v>99080</v>
      </c>
      <c r="L226" s="1" t="s">
        <v>23</v>
      </c>
      <c r="M226" s="1" t="s">
        <v>37</v>
      </c>
      <c r="N226" s="2"/>
      <c r="O226">
        <v>225</v>
      </c>
      <c r="P226">
        <v>0</v>
      </c>
      <c r="Q226" t="s">
        <v>25</v>
      </c>
      <c r="R226">
        <f ca="1">DATEDIF(EMP_RAW_Data[[#This Row],[Hire Date]],IF(EMP_RAW_Data[[#This Row],[Exit Date]]="",TODAY(),EMP_RAW_Data[[#This Row],[Exit Date]]),"Y")</f>
        <v>11</v>
      </c>
      <c r="S226" t="str">
        <f>IF(EMP_RAW_Data[[#This Row],[Status]]=1,"Inactive","Active")</f>
        <v>Active</v>
      </c>
    </row>
    <row r="227" spans="1:19" hidden="1" x14ac:dyDescent="0.3">
      <c r="A227" s="1" t="s">
        <v>310</v>
      </c>
      <c r="B227" s="1" t="s">
        <v>189</v>
      </c>
      <c r="C227" s="1" t="s">
        <v>46</v>
      </c>
      <c r="D227" s="1" t="s">
        <v>47</v>
      </c>
      <c r="E227" s="1" t="s">
        <v>21</v>
      </c>
      <c r="F227">
        <v>40</v>
      </c>
      <c r="G227" t="s">
        <v>59</v>
      </c>
      <c r="H227" s="2">
        <v>40563</v>
      </c>
      <c r="I227">
        <v>96719</v>
      </c>
      <c r="J227">
        <v>0</v>
      </c>
      <c r="K227">
        <v>96719</v>
      </c>
      <c r="L227" s="1" t="s">
        <v>30</v>
      </c>
      <c r="M227" s="1" t="s">
        <v>102</v>
      </c>
      <c r="N227" s="2"/>
      <c r="O227">
        <v>226</v>
      </c>
      <c r="P227">
        <v>0</v>
      </c>
      <c r="Q227" t="s">
        <v>25</v>
      </c>
      <c r="R227">
        <f ca="1">DATEDIF(EMP_RAW_Data[[#This Row],[Hire Date]],IF(EMP_RAW_Data[[#This Row],[Exit Date]]="",TODAY(),EMP_RAW_Data[[#This Row],[Exit Date]]),"Y")</f>
        <v>15</v>
      </c>
      <c r="S227" t="str">
        <f>IF(EMP_RAW_Data[[#This Row],[Status]]=1,"Inactive","Active")</f>
        <v>Active</v>
      </c>
    </row>
    <row r="228" spans="1:19" hidden="1" x14ac:dyDescent="0.3">
      <c r="A228" s="1" t="s">
        <v>311</v>
      </c>
      <c r="B228" s="1" t="s">
        <v>33</v>
      </c>
      <c r="C228" s="1" t="s">
        <v>58</v>
      </c>
      <c r="D228" s="1" t="s">
        <v>20</v>
      </c>
      <c r="E228" s="1" t="s">
        <v>21</v>
      </c>
      <c r="F228">
        <v>51</v>
      </c>
      <c r="G228" t="s">
        <v>36</v>
      </c>
      <c r="H228" s="2">
        <v>44283</v>
      </c>
      <c r="I228">
        <v>180687</v>
      </c>
      <c r="J228">
        <v>0.19</v>
      </c>
      <c r="K228">
        <v>215017.53</v>
      </c>
      <c r="L228" s="1" t="s">
        <v>23</v>
      </c>
      <c r="M228" s="1" t="s">
        <v>43</v>
      </c>
      <c r="N228" s="2"/>
      <c r="O228">
        <v>227</v>
      </c>
      <c r="P228">
        <v>0</v>
      </c>
      <c r="Q228" t="s">
        <v>25</v>
      </c>
      <c r="R228">
        <f ca="1">DATEDIF(EMP_RAW_Data[[#This Row],[Hire Date]],IF(EMP_RAW_Data[[#This Row],[Exit Date]]="",TODAY(),EMP_RAW_Data[[#This Row],[Exit Date]]),"Y")</f>
        <v>4</v>
      </c>
      <c r="S228" t="str">
        <f>IF(EMP_RAW_Data[[#This Row],[Status]]=1,"Inactive","Active")</f>
        <v>Active</v>
      </c>
    </row>
    <row r="229" spans="1:19" x14ac:dyDescent="0.3">
      <c r="A229" s="1" t="s">
        <v>312</v>
      </c>
      <c r="B229" s="1" t="s">
        <v>89</v>
      </c>
      <c r="C229" s="1" t="s">
        <v>62</v>
      </c>
      <c r="D229" s="1" t="s">
        <v>47</v>
      </c>
      <c r="E229" s="1" t="s">
        <v>29</v>
      </c>
      <c r="F229">
        <v>45</v>
      </c>
      <c r="G229" t="s">
        <v>36</v>
      </c>
      <c r="H229" s="2">
        <v>36993</v>
      </c>
      <c r="I229">
        <v>95743</v>
      </c>
      <c r="J229">
        <v>0.15</v>
      </c>
      <c r="K229">
        <v>110104.45</v>
      </c>
      <c r="L229" s="1" t="s">
        <v>23</v>
      </c>
      <c r="M229" s="1" t="s">
        <v>55</v>
      </c>
      <c r="N229" s="2">
        <v>40193</v>
      </c>
      <c r="O229">
        <v>228</v>
      </c>
      <c r="P229">
        <v>1</v>
      </c>
      <c r="Q229" t="s">
        <v>25</v>
      </c>
      <c r="R229">
        <f ca="1">DATEDIF(EMP_RAW_Data[[#This Row],[Hire Date]],IF(EMP_RAW_Data[[#This Row],[Exit Date]]="",TODAY(),EMP_RAW_Data[[#This Row],[Exit Date]]),"Y")</f>
        <v>8</v>
      </c>
      <c r="S229" t="str">
        <f>IF(EMP_RAW_Data[[#This Row],[Status]]=1,"Inactive","Active")</f>
        <v>Inactive</v>
      </c>
    </row>
    <row r="230" spans="1:19" hidden="1" x14ac:dyDescent="0.3">
      <c r="A230" s="1" t="s">
        <v>313</v>
      </c>
      <c r="B230" s="1" t="s">
        <v>180</v>
      </c>
      <c r="C230" s="1" t="s">
        <v>62</v>
      </c>
      <c r="D230" s="1" t="s">
        <v>20</v>
      </c>
      <c r="E230" s="1" t="s">
        <v>21</v>
      </c>
      <c r="F230">
        <v>44</v>
      </c>
      <c r="G230" t="s">
        <v>59</v>
      </c>
      <c r="H230" s="2">
        <v>40060</v>
      </c>
      <c r="I230">
        <v>89695</v>
      </c>
      <c r="J230">
        <v>0</v>
      </c>
      <c r="K230">
        <v>89695</v>
      </c>
      <c r="L230" s="1" t="s">
        <v>23</v>
      </c>
      <c r="M230" s="1" t="s">
        <v>55</v>
      </c>
      <c r="N230" s="2"/>
      <c r="O230">
        <v>229</v>
      </c>
      <c r="P230">
        <v>0</v>
      </c>
      <c r="Q230" t="s">
        <v>25</v>
      </c>
      <c r="R230">
        <f ca="1">DATEDIF(EMP_RAW_Data[[#This Row],[Hire Date]],IF(EMP_RAW_Data[[#This Row],[Exit Date]]="",TODAY(),EMP_RAW_Data[[#This Row],[Exit Date]]),"Y")</f>
        <v>16</v>
      </c>
      <c r="S230" t="str">
        <f>IF(EMP_RAW_Data[[#This Row],[Status]]=1,"Inactive","Active")</f>
        <v>Active</v>
      </c>
    </row>
    <row r="231" spans="1:19" hidden="1" x14ac:dyDescent="0.3">
      <c r="A231" s="1" t="s">
        <v>314</v>
      </c>
      <c r="B231" s="1" t="s">
        <v>49</v>
      </c>
      <c r="C231" s="1" t="s">
        <v>34</v>
      </c>
      <c r="D231" s="1" t="s">
        <v>28</v>
      </c>
      <c r="E231" s="1" t="s">
        <v>29</v>
      </c>
      <c r="F231">
        <v>64</v>
      </c>
      <c r="G231" t="s">
        <v>22</v>
      </c>
      <c r="H231" s="2">
        <v>35996</v>
      </c>
      <c r="I231">
        <v>122753</v>
      </c>
      <c r="J231">
        <v>0.09</v>
      </c>
      <c r="K231">
        <v>133800.76999999999</v>
      </c>
      <c r="L231" s="1" t="s">
        <v>30</v>
      </c>
      <c r="M231" s="1" t="s">
        <v>31</v>
      </c>
      <c r="N231" s="2"/>
      <c r="O231">
        <v>230</v>
      </c>
      <c r="P231">
        <v>0</v>
      </c>
      <c r="Q231" t="s">
        <v>25</v>
      </c>
      <c r="R231">
        <f ca="1">DATEDIF(EMP_RAW_Data[[#This Row],[Hire Date]],IF(EMP_RAW_Data[[#This Row],[Exit Date]]="",TODAY(),EMP_RAW_Data[[#This Row],[Exit Date]]),"Y")</f>
        <v>27</v>
      </c>
      <c r="S231" t="str">
        <f>IF(EMP_RAW_Data[[#This Row],[Status]]=1,"Inactive","Active")</f>
        <v>Active</v>
      </c>
    </row>
    <row r="232" spans="1:19" hidden="1" x14ac:dyDescent="0.3">
      <c r="A232" s="1" t="s">
        <v>315</v>
      </c>
      <c r="B232" s="1" t="s">
        <v>107</v>
      </c>
      <c r="C232" s="1" t="s">
        <v>58</v>
      </c>
      <c r="D232" s="1" t="s">
        <v>20</v>
      </c>
      <c r="E232" s="1" t="s">
        <v>29</v>
      </c>
      <c r="F232">
        <v>30</v>
      </c>
      <c r="G232" t="s">
        <v>40</v>
      </c>
      <c r="H232" s="2">
        <v>42078</v>
      </c>
      <c r="I232">
        <v>93734</v>
      </c>
      <c r="J232">
        <v>0</v>
      </c>
      <c r="K232">
        <v>93734</v>
      </c>
      <c r="L232" s="1" t="s">
        <v>23</v>
      </c>
      <c r="M232" s="1" t="s">
        <v>43</v>
      </c>
      <c r="N232" s="2"/>
      <c r="O232">
        <v>231</v>
      </c>
      <c r="P232">
        <v>0</v>
      </c>
      <c r="Q232" t="s">
        <v>25</v>
      </c>
      <c r="R232">
        <f ca="1">DATEDIF(EMP_RAW_Data[[#This Row],[Hire Date]],IF(EMP_RAW_Data[[#This Row],[Exit Date]]="",TODAY(),EMP_RAW_Data[[#This Row],[Exit Date]]),"Y")</f>
        <v>11</v>
      </c>
      <c r="S232" t="str">
        <f>IF(EMP_RAW_Data[[#This Row],[Status]]=1,"Inactive","Active")</f>
        <v>Active</v>
      </c>
    </row>
    <row r="233" spans="1:19" hidden="1" x14ac:dyDescent="0.3">
      <c r="A233" s="1" t="s">
        <v>316</v>
      </c>
      <c r="B233" s="1" t="s">
        <v>51</v>
      </c>
      <c r="C233" s="1" t="s">
        <v>54</v>
      </c>
      <c r="D233" s="1" t="s">
        <v>47</v>
      </c>
      <c r="E233" s="1" t="s">
        <v>29</v>
      </c>
      <c r="F233">
        <v>28</v>
      </c>
      <c r="G233" t="s">
        <v>40</v>
      </c>
      <c r="H233" s="2">
        <v>42867</v>
      </c>
      <c r="I233">
        <v>52069</v>
      </c>
      <c r="J233">
        <v>0</v>
      </c>
      <c r="K233">
        <v>52069</v>
      </c>
      <c r="L233" s="1" t="s">
        <v>30</v>
      </c>
      <c r="M233" s="1" t="s">
        <v>31</v>
      </c>
      <c r="N233" s="2"/>
      <c r="O233">
        <v>232</v>
      </c>
      <c r="P233">
        <v>0</v>
      </c>
      <c r="Q233" t="s">
        <v>25</v>
      </c>
      <c r="R233">
        <f ca="1">DATEDIF(EMP_RAW_Data[[#This Row],[Hire Date]],IF(EMP_RAW_Data[[#This Row],[Exit Date]]="",TODAY(),EMP_RAW_Data[[#This Row],[Exit Date]]),"Y")</f>
        <v>8</v>
      </c>
      <c r="S233" t="str">
        <f>IF(EMP_RAW_Data[[#This Row],[Status]]=1,"Inactive","Active")</f>
        <v>Active</v>
      </c>
    </row>
    <row r="234" spans="1:19" hidden="1" x14ac:dyDescent="0.3">
      <c r="A234" s="1" t="s">
        <v>317</v>
      </c>
      <c r="B234" s="1" t="s">
        <v>68</v>
      </c>
      <c r="C234" s="1" t="s">
        <v>54</v>
      </c>
      <c r="D234" s="1" t="s">
        <v>47</v>
      </c>
      <c r="E234" s="1" t="s">
        <v>21</v>
      </c>
      <c r="F234">
        <v>33</v>
      </c>
      <c r="G234" t="s">
        <v>40</v>
      </c>
      <c r="H234" s="2">
        <v>44181</v>
      </c>
      <c r="I234">
        <v>258426</v>
      </c>
      <c r="J234">
        <v>0.4</v>
      </c>
      <c r="K234">
        <v>361796.4</v>
      </c>
      <c r="L234" s="1" t="s">
        <v>77</v>
      </c>
      <c r="M234" s="1" t="s">
        <v>81</v>
      </c>
      <c r="N234" s="2"/>
      <c r="O234">
        <v>233</v>
      </c>
      <c r="P234">
        <v>0</v>
      </c>
      <c r="Q234" t="s">
        <v>25</v>
      </c>
      <c r="R234">
        <f ca="1">DATEDIF(EMP_RAW_Data[[#This Row],[Hire Date]],IF(EMP_RAW_Data[[#This Row],[Exit Date]]="",TODAY(),EMP_RAW_Data[[#This Row],[Exit Date]]),"Y")</f>
        <v>5</v>
      </c>
      <c r="S234" t="str">
        <f>IF(EMP_RAW_Data[[#This Row],[Status]]=1,"Inactive","Active")</f>
        <v>Active</v>
      </c>
    </row>
    <row r="235" spans="1:19" hidden="1" x14ac:dyDescent="0.3">
      <c r="A235" s="1" t="s">
        <v>318</v>
      </c>
      <c r="B235" s="1" t="s">
        <v>49</v>
      </c>
      <c r="C235" s="1" t="s">
        <v>34</v>
      </c>
      <c r="D235" s="1" t="s">
        <v>35</v>
      </c>
      <c r="E235" s="1" t="s">
        <v>29</v>
      </c>
      <c r="F235">
        <v>51</v>
      </c>
      <c r="G235" t="s">
        <v>36</v>
      </c>
      <c r="H235" s="2">
        <v>34746</v>
      </c>
      <c r="I235">
        <v>125375</v>
      </c>
      <c r="J235">
        <v>0.09</v>
      </c>
      <c r="K235">
        <v>136658.75</v>
      </c>
      <c r="L235" s="1" t="s">
        <v>23</v>
      </c>
      <c r="M235" s="1" t="s">
        <v>37</v>
      </c>
      <c r="N235" s="2"/>
      <c r="O235">
        <v>234</v>
      </c>
      <c r="P235">
        <v>0</v>
      </c>
      <c r="Q235" t="s">
        <v>25</v>
      </c>
      <c r="R235">
        <f ca="1">DATEDIF(EMP_RAW_Data[[#This Row],[Hire Date]],IF(EMP_RAW_Data[[#This Row],[Exit Date]]="",TODAY(),EMP_RAW_Data[[#This Row],[Exit Date]]),"Y")</f>
        <v>31</v>
      </c>
      <c r="S235" t="str">
        <f>IF(EMP_RAW_Data[[#This Row],[Status]]=1,"Inactive","Active")</f>
        <v>Active</v>
      </c>
    </row>
    <row r="236" spans="1:19" hidden="1" x14ac:dyDescent="0.3">
      <c r="A236" s="1" t="s">
        <v>319</v>
      </c>
      <c r="B236" s="1" t="s">
        <v>68</v>
      </c>
      <c r="C236" s="1" t="s">
        <v>54</v>
      </c>
      <c r="D236" s="1" t="s">
        <v>28</v>
      </c>
      <c r="E236" s="1" t="s">
        <v>29</v>
      </c>
      <c r="F236">
        <v>25</v>
      </c>
      <c r="G236" t="s">
        <v>40</v>
      </c>
      <c r="H236" s="2">
        <v>44235</v>
      </c>
      <c r="I236">
        <v>198243</v>
      </c>
      <c r="J236">
        <v>0.31</v>
      </c>
      <c r="K236">
        <v>259698.33000000002</v>
      </c>
      <c r="L236" s="1" t="s">
        <v>23</v>
      </c>
      <c r="M236" s="1" t="s">
        <v>52</v>
      </c>
      <c r="N236" s="2"/>
      <c r="O236">
        <v>235</v>
      </c>
      <c r="P236">
        <v>0</v>
      </c>
      <c r="Q236" t="s">
        <v>25</v>
      </c>
      <c r="R236">
        <f ca="1">DATEDIF(EMP_RAW_Data[[#This Row],[Hire Date]],IF(EMP_RAW_Data[[#This Row],[Exit Date]]="",TODAY(),EMP_RAW_Data[[#This Row],[Exit Date]]),"Y")</f>
        <v>5</v>
      </c>
      <c r="S236" t="str">
        <f>IF(EMP_RAW_Data[[#This Row],[Status]]=1,"Inactive","Active")</f>
        <v>Active</v>
      </c>
    </row>
    <row r="237" spans="1:19" hidden="1" x14ac:dyDescent="0.3">
      <c r="A237" s="1" t="s">
        <v>320</v>
      </c>
      <c r="B237" s="1" t="s">
        <v>151</v>
      </c>
      <c r="C237" s="1" t="s">
        <v>62</v>
      </c>
      <c r="D237" s="1" t="s">
        <v>20</v>
      </c>
      <c r="E237" s="1" t="s">
        <v>21</v>
      </c>
      <c r="F237">
        <v>42</v>
      </c>
      <c r="G237" t="s">
        <v>59</v>
      </c>
      <c r="H237" s="2">
        <v>43062</v>
      </c>
      <c r="I237">
        <v>96023</v>
      </c>
      <c r="J237">
        <v>0</v>
      </c>
      <c r="K237">
        <v>96023</v>
      </c>
      <c r="L237" s="1" t="s">
        <v>23</v>
      </c>
      <c r="M237" s="1" t="s">
        <v>52</v>
      </c>
      <c r="N237" s="2"/>
      <c r="O237">
        <v>236</v>
      </c>
      <c r="P237">
        <v>0</v>
      </c>
      <c r="Q237" t="s">
        <v>25</v>
      </c>
      <c r="R237">
        <f ca="1">DATEDIF(EMP_RAW_Data[[#This Row],[Hire Date]],IF(EMP_RAW_Data[[#This Row],[Exit Date]]="",TODAY(),EMP_RAW_Data[[#This Row],[Exit Date]]),"Y")</f>
        <v>8</v>
      </c>
      <c r="S237" t="str">
        <f>IF(EMP_RAW_Data[[#This Row],[Status]]=1,"Inactive","Active")</f>
        <v>Active</v>
      </c>
    </row>
    <row r="238" spans="1:19" x14ac:dyDescent="0.3">
      <c r="A238" s="1" t="s">
        <v>321</v>
      </c>
      <c r="B238" s="1" t="s">
        <v>42</v>
      </c>
      <c r="C238" s="1" t="s">
        <v>69</v>
      </c>
      <c r="D238" s="1" t="s">
        <v>20</v>
      </c>
      <c r="E238" s="1" t="s">
        <v>21</v>
      </c>
      <c r="F238">
        <v>34</v>
      </c>
      <c r="G238" t="s">
        <v>40</v>
      </c>
      <c r="H238" s="2">
        <v>41085</v>
      </c>
      <c r="I238">
        <v>83066</v>
      </c>
      <c r="J238">
        <v>0</v>
      </c>
      <c r="K238">
        <v>83066</v>
      </c>
      <c r="L238" s="1" t="s">
        <v>23</v>
      </c>
      <c r="M238" s="1" t="s">
        <v>37</v>
      </c>
      <c r="N238" s="2">
        <v>41430</v>
      </c>
      <c r="O238">
        <v>237</v>
      </c>
      <c r="P238">
        <v>1</v>
      </c>
      <c r="Q238" t="s">
        <v>25</v>
      </c>
      <c r="R238">
        <f ca="1">DATEDIF(EMP_RAW_Data[[#This Row],[Hire Date]],IF(EMP_RAW_Data[[#This Row],[Exit Date]]="",TODAY(),EMP_RAW_Data[[#This Row],[Exit Date]]),"Y")</f>
        <v>0</v>
      </c>
      <c r="S238" t="str">
        <f>IF(EMP_RAW_Data[[#This Row],[Status]]=1,"Inactive","Active")</f>
        <v>Inactive</v>
      </c>
    </row>
    <row r="239" spans="1:19" hidden="1" x14ac:dyDescent="0.3">
      <c r="A239" s="1" t="s">
        <v>322</v>
      </c>
      <c r="B239" s="1" t="s">
        <v>96</v>
      </c>
      <c r="C239" s="1" t="s">
        <v>46</v>
      </c>
      <c r="D239" s="1" t="s">
        <v>20</v>
      </c>
      <c r="E239" s="1" t="s">
        <v>21</v>
      </c>
      <c r="F239">
        <v>48</v>
      </c>
      <c r="G239" t="s">
        <v>36</v>
      </c>
      <c r="H239" s="2">
        <v>41773</v>
      </c>
      <c r="I239">
        <v>61216</v>
      </c>
      <c r="J239">
        <v>0</v>
      </c>
      <c r="K239">
        <v>61216</v>
      </c>
      <c r="L239" s="1" t="s">
        <v>23</v>
      </c>
      <c r="M239" s="1" t="s">
        <v>24</v>
      </c>
      <c r="N239" s="2"/>
      <c r="O239">
        <v>238</v>
      </c>
      <c r="P239">
        <v>0</v>
      </c>
      <c r="Q239" t="s">
        <v>25</v>
      </c>
      <c r="R239">
        <f ca="1">DATEDIF(EMP_RAW_Data[[#This Row],[Hire Date]],IF(EMP_RAW_Data[[#This Row],[Exit Date]]="",TODAY(),EMP_RAW_Data[[#This Row],[Exit Date]]),"Y")</f>
        <v>11</v>
      </c>
      <c r="S239" t="str">
        <f>IF(EMP_RAW_Data[[#This Row],[Status]]=1,"Inactive","Active")</f>
        <v>Active</v>
      </c>
    </row>
    <row r="240" spans="1:19" x14ac:dyDescent="0.3">
      <c r="A240" s="1" t="s">
        <v>323</v>
      </c>
      <c r="B240" s="1" t="s">
        <v>18</v>
      </c>
      <c r="C240" s="1" t="s">
        <v>54</v>
      </c>
      <c r="D240" s="1" t="s">
        <v>47</v>
      </c>
      <c r="E240" s="1" t="s">
        <v>29</v>
      </c>
      <c r="F240">
        <v>33</v>
      </c>
      <c r="G240" t="s">
        <v>40</v>
      </c>
      <c r="H240" s="2">
        <v>41315</v>
      </c>
      <c r="I240">
        <v>144231</v>
      </c>
      <c r="J240">
        <v>0.14000000000000001</v>
      </c>
      <c r="K240">
        <v>164423.34</v>
      </c>
      <c r="L240" s="1" t="s">
        <v>23</v>
      </c>
      <c r="M240" s="1" t="s">
        <v>74</v>
      </c>
      <c r="N240" s="2">
        <v>44029</v>
      </c>
      <c r="O240">
        <v>239</v>
      </c>
      <c r="P240">
        <v>1</v>
      </c>
      <c r="Q240" t="s">
        <v>25</v>
      </c>
      <c r="R240">
        <f ca="1">DATEDIF(EMP_RAW_Data[[#This Row],[Hire Date]],IF(EMP_RAW_Data[[#This Row],[Exit Date]]="",TODAY(),EMP_RAW_Data[[#This Row],[Exit Date]]),"Y")</f>
        <v>7</v>
      </c>
      <c r="S240" t="str">
        <f>IF(EMP_RAW_Data[[#This Row],[Status]]=1,"Inactive","Active")</f>
        <v>Inactive</v>
      </c>
    </row>
    <row r="241" spans="1:19" hidden="1" x14ac:dyDescent="0.3">
      <c r="A241" s="1" t="s">
        <v>324</v>
      </c>
      <c r="B241" s="1" t="s">
        <v>118</v>
      </c>
      <c r="C241" s="1" t="s">
        <v>58</v>
      </c>
      <c r="D241" s="1" t="s">
        <v>20</v>
      </c>
      <c r="E241" s="1" t="s">
        <v>29</v>
      </c>
      <c r="F241">
        <v>41</v>
      </c>
      <c r="G241" t="s">
        <v>59</v>
      </c>
      <c r="H241" s="2">
        <v>39379</v>
      </c>
      <c r="I241">
        <v>51630</v>
      </c>
      <c r="J241">
        <v>0</v>
      </c>
      <c r="K241">
        <v>51630</v>
      </c>
      <c r="L241" s="1" t="s">
        <v>30</v>
      </c>
      <c r="M241" s="1" t="s">
        <v>90</v>
      </c>
      <c r="N241" s="2"/>
      <c r="O241">
        <v>240</v>
      </c>
      <c r="P241">
        <v>0</v>
      </c>
      <c r="Q241" t="s">
        <v>25</v>
      </c>
      <c r="R241">
        <f ca="1">DATEDIF(EMP_RAW_Data[[#This Row],[Hire Date]],IF(EMP_RAW_Data[[#This Row],[Exit Date]]="",TODAY(),EMP_RAW_Data[[#This Row],[Exit Date]]),"Y")</f>
        <v>18</v>
      </c>
      <c r="S241" t="str">
        <f>IF(EMP_RAW_Data[[#This Row],[Status]]=1,"Inactive","Active")</f>
        <v>Active</v>
      </c>
    </row>
    <row r="242" spans="1:19" hidden="1" x14ac:dyDescent="0.3">
      <c r="A242" s="1" t="s">
        <v>325</v>
      </c>
      <c r="B242" s="1" t="s">
        <v>18</v>
      </c>
      <c r="C242" s="1" t="s">
        <v>46</v>
      </c>
      <c r="D242" s="1" t="s">
        <v>47</v>
      </c>
      <c r="E242" s="1" t="s">
        <v>29</v>
      </c>
      <c r="F242">
        <v>55</v>
      </c>
      <c r="G242" t="s">
        <v>22</v>
      </c>
      <c r="H242" s="2">
        <v>41594</v>
      </c>
      <c r="I242">
        <v>124129</v>
      </c>
      <c r="J242">
        <v>0.15</v>
      </c>
      <c r="K242">
        <v>142748.35</v>
      </c>
      <c r="L242" s="1" t="s">
        <v>77</v>
      </c>
      <c r="M242" s="1" t="s">
        <v>148</v>
      </c>
      <c r="N242" s="2"/>
      <c r="O242">
        <v>241</v>
      </c>
      <c r="P242">
        <v>0</v>
      </c>
      <c r="Q242" t="s">
        <v>25</v>
      </c>
      <c r="R242">
        <f ca="1">DATEDIF(EMP_RAW_Data[[#This Row],[Hire Date]],IF(EMP_RAW_Data[[#This Row],[Exit Date]]="",TODAY(),EMP_RAW_Data[[#This Row],[Exit Date]]),"Y")</f>
        <v>12</v>
      </c>
      <c r="S242" t="str">
        <f>IF(EMP_RAW_Data[[#This Row],[Status]]=1,"Inactive","Active")</f>
        <v>Active</v>
      </c>
    </row>
    <row r="243" spans="1:19" hidden="1" x14ac:dyDescent="0.3">
      <c r="A243" s="1" t="s">
        <v>326</v>
      </c>
      <c r="B243" s="1" t="s">
        <v>151</v>
      </c>
      <c r="C243" s="1" t="s">
        <v>62</v>
      </c>
      <c r="D243" s="1" t="s">
        <v>28</v>
      </c>
      <c r="E243" s="1" t="s">
        <v>29</v>
      </c>
      <c r="F243">
        <v>36</v>
      </c>
      <c r="G243" t="s">
        <v>59</v>
      </c>
      <c r="H243" s="2">
        <v>39912</v>
      </c>
      <c r="I243">
        <v>60055</v>
      </c>
      <c r="J243">
        <v>0</v>
      </c>
      <c r="K243">
        <v>60055</v>
      </c>
      <c r="L243" s="1" t="s">
        <v>23</v>
      </c>
      <c r="M243" s="1" t="s">
        <v>24</v>
      </c>
      <c r="N243" s="2"/>
      <c r="O243">
        <v>242</v>
      </c>
      <c r="P243">
        <v>0</v>
      </c>
      <c r="Q243" t="s">
        <v>25</v>
      </c>
      <c r="R243">
        <f ca="1">DATEDIF(EMP_RAW_Data[[#This Row],[Hire Date]],IF(EMP_RAW_Data[[#This Row],[Exit Date]]="",TODAY(),EMP_RAW_Data[[#This Row],[Exit Date]]),"Y")</f>
        <v>16</v>
      </c>
      <c r="S243" t="str">
        <f>IF(EMP_RAW_Data[[#This Row],[Status]]=1,"Inactive","Active")</f>
        <v>Active</v>
      </c>
    </row>
    <row r="244" spans="1:19" x14ac:dyDescent="0.3">
      <c r="A244" s="1" t="s">
        <v>327</v>
      </c>
      <c r="B244" s="1" t="s">
        <v>33</v>
      </c>
      <c r="C244" s="1" t="s">
        <v>62</v>
      </c>
      <c r="D244" s="1" t="s">
        <v>20</v>
      </c>
      <c r="E244" s="1" t="s">
        <v>29</v>
      </c>
      <c r="F244">
        <v>31</v>
      </c>
      <c r="G244" t="s">
        <v>40</v>
      </c>
      <c r="H244" s="2">
        <v>44069</v>
      </c>
      <c r="I244">
        <v>189290</v>
      </c>
      <c r="J244">
        <v>0.22</v>
      </c>
      <c r="K244">
        <v>230933.8</v>
      </c>
      <c r="L244" s="1" t="s">
        <v>77</v>
      </c>
      <c r="M244" s="1" t="s">
        <v>148</v>
      </c>
      <c r="N244" s="2">
        <v>44099</v>
      </c>
      <c r="O244">
        <v>243</v>
      </c>
      <c r="P244">
        <v>1</v>
      </c>
      <c r="Q244" t="s">
        <v>25</v>
      </c>
      <c r="R244">
        <f ca="1">DATEDIF(EMP_RAW_Data[[#This Row],[Hire Date]],IF(EMP_RAW_Data[[#This Row],[Exit Date]]="",TODAY(),EMP_RAW_Data[[#This Row],[Exit Date]]),"Y")</f>
        <v>0</v>
      </c>
      <c r="S244" t="str">
        <f>IF(EMP_RAW_Data[[#This Row],[Status]]=1,"Inactive","Active")</f>
        <v>Inactive</v>
      </c>
    </row>
    <row r="245" spans="1:19" hidden="1" x14ac:dyDescent="0.3">
      <c r="A245" s="1" t="s">
        <v>328</v>
      </c>
      <c r="B245" s="1" t="s">
        <v>68</v>
      </c>
      <c r="C245" s="1" t="s">
        <v>19</v>
      </c>
      <c r="D245" s="1" t="s">
        <v>47</v>
      </c>
      <c r="E245" s="1" t="s">
        <v>21</v>
      </c>
      <c r="F245">
        <v>53</v>
      </c>
      <c r="G245" t="s">
        <v>36</v>
      </c>
      <c r="H245" s="2">
        <v>39568</v>
      </c>
      <c r="I245">
        <v>182202</v>
      </c>
      <c r="J245">
        <v>0.3</v>
      </c>
      <c r="K245">
        <v>236862.6</v>
      </c>
      <c r="L245" s="1" t="s">
        <v>23</v>
      </c>
      <c r="M245" s="1" t="s">
        <v>55</v>
      </c>
      <c r="N245" s="2"/>
      <c r="O245">
        <v>244</v>
      </c>
      <c r="P245">
        <v>0</v>
      </c>
      <c r="Q245" t="s">
        <v>25</v>
      </c>
      <c r="R245">
        <f ca="1">DATEDIF(EMP_RAW_Data[[#This Row],[Hire Date]],IF(EMP_RAW_Data[[#This Row],[Exit Date]]="",TODAY(),EMP_RAW_Data[[#This Row],[Exit Date]]),"Y")</f>
        <v>17</v>
      </c>
      <c r="S245" t="str">
        <f>IF(EMP_RAW_Data[[#This Row],[Status]]=1,"Inactive","Active")</f>
        <v>Active</v>
      </c>
    </row>
    <row r="246" spans="1:19" hidden="1" x14ac:dyDescent="0.3">
      <c r="A246" s="1" t="s">
        <v>329</v>
      </c>
      <c r="B246" s="1" t="s">
        <v>49</v>
      </c>
      <c r="C246" s="1" t="s">
        <v>46</v>
      </c>
      <c r="D246" s="1" t="s">
        <v>35</v>
      </c>
      <c r="E246" s="1" t="s">
        <v>29</v>
      </c>
      <c r="F246">
        <v>43</v>
      </c>
      <c r="G246" t="s">
        <v>59</v>
      </c>
      <c r="H246" s="2">
        <v>38748</v>
      </c>
      <c r="I246">
        <v>117518</v>
      </c>
      <c r="J246">
        <v>7.0000000000000007E-2</v>
      </c>
      <c r="K246">
        <v>125744.26</v>
      </c>
      <c r="L246" s="1" t="s">
        <v>23</v>
      </c>
      <c r="M246" s="1" t="s">
        <v>24</v>
      </c>
      <c r="N246" s="2"/>
      <c r="O246">
        <v>245</v>
      </c>
      <c r="P246">
        <v>0</v>
      </c>
      <c r="Q246" t="s">
        <v>25</v>
      </c>
      <c r="R246">
        <f ca="1">DATEDIF(EMP_RAW_Data[[#This Row],[Hire Date]],IF(EMP_RAW_Data[[#This Row],[Exit Date]]="",TODAY(),EMP_RAW_Data[[#This Row],[Exit Date]]),"Y")</f>
        <v>20</v>
      </c>
      <c r="S246" t="str">
        <f>IF(EMP_RAW_Data[[#This Row],[Status]]=1,"Inactive","Active")</f>
        <v>Active</v>
      </c>
    </row>
    <row r="247" spans="1:19" hidden="1" x14ac:dyDescent="0.3">
      <c r="A247" s="1" t="s">
        <v>330</v>
      </c>
      <c r="B247" s="1" t="s">
        <v>18</v>
      </c>
      <c r="C247" s="1" t="s">
        <v>34</v>
      </c>
      <c r="D247" s="1" t="s">
        <v>28</v>
      </c>
      <c r="E247" s="1" t="s">
        <v>21</v>
      </c>
      <c r="F247">
        <v>37</v>
      </c>
      <c r="G247" t="s">
        <v>59</v>
      </c>
      <c r="H247" s="2">
        <v>41329</v>
      </c>
      <c r="I247">
        <v>157474</v>
      </c>
      <c r="J247">
        <v>0.11</v>
      </c>
      <c r="K247">
        <v>174796.14</v>
      </c>
      <c r="L247" s="1" t="s">
        <v>77</v>
      </c>
      <c r="M247" s="1" t="s">
        <v>81</v>
      </c>
      <c r="N247" s="2"/>
      <c r="O247">
        <v>246</v>
      </c>
      <c r="P247">
        <v>0</v>
      </c>
      <c r="Q247" t="s">
        <v>25</v>
      </c>
      <c r="R247">
        <f ca="1">DATEDIF(EMP_RAW_Data[[#This Row],[Hire Date]],IF(EMP_RAW_Data[[#This Row],[Exit Date]]="",TODAY(),EMP_RAW_Data[[#This Row],[Exit Date]]),"Y")</f>
        <v>13</v>
      </c>
      <c r="S247" t="str">
        <f>IF(EMP_RAW_Data[[#This Row],[Status]]=1,"Inactive","Active")</f>
        <v>Active</v>
      </c>
    </row>
    <row r="248" spans="1:19" hidden="1" x14ac:dyDescent="0.3">
      <c r="A248" s="1" t="s">
        <v>331</v>
      </c>
      <c r="B248" s="1" t="s">
        <v>49</v>
      </c>
      <c r="C248" s="1" t="s">
        <v>69</v>
      </c>
      <c r="D248" s="1" t="s">
        <v>28</v>
      </c>
      <c r="E248" s="1" t="s">
        <v>29</v>
      </c>
      <c r="F248">
        <v>38</v>
      </c>
      <c r="G248" t="s">
        <v>59</v>
      </c>
      <c r="H248" s="2">
        <v>39544</v>
      </c>
      <c r="I248">
        <v>126856</v>
      </c>
      <c r="J248">
        <v>0.06</v>
      </c>
      <c r="K248">
        <v>134467.35999999999</v>
      </c>
      <c r="L248" s="1" t="s">
        <v>23</v>
      </c>
      <c r="M248" s="1" t="s">
        <v>74</v>
      </c>
      <c r="N248" s="2"/>
      <c r="O248">
        <v>247</v>
      </c>
      <c r="P248">
        <v>0</v>
      </c>
      <c r="Q248" t="s">
        <v>25</v>
      </c>
      <c r="R248">
        <f ca="1">DATEDIF(EMP_RAW_Data[[#This Row],[Hire Date]],IF(EMP_RAW_Data[[#This Row],[Exit Date]]="",TODAY(),EMP_RAW_Data[[#This Row],[Exit Date]]),"Y")</f>
        <v>17</v>
      </c>
      <c r="S248" t="str">
        <f>IF(EMP_RAW_Data[[#This Row],[Status]]=1,"Inactive","Active")</f>
        <v>Active</v>
      </c>
    </row>
    <row r="249" spans="1:19" hidden="1" x14ac:dyDescent="0.3">
      <c r="A249" s="1" t="s">
        <v>332</v>
      </c>
      <c r="B249" s="1" t="s">
        <v>18</v>
      </c>
      <c r="C249" s="1" t="s">
        <v>54</v>
      </c>
      <c r="D249" s="1" t="s">
        <v>28</v>
      </c>
      <c r="E249" s="1" t="s">
        <v>21</v>
      </c>
      <c r="F249">
        <v>49</v>
      </c>
      <c r="G249" t="s">
        <v>36</v>
      </c>
      <c r="H249" s="2">
        <v>36983</v>
      </c>
      <c r="I249">
        <v>129124</v>
      </c>
      <c r="J249">
        <v>0.12</v>
      </c>
      <c r="K249">
        <v>144618.88</v>
      </c>
      <c r="L249" s="1" t="s">
        <v>30</v>
      </c>
      <c r="M249" s="1" t="s">
        <v>65</v>
      </c>
      <c r="N249" s="2"/>
      <c r="O249">
        <v>248</v>
      </c>
      <c r="P249">
        <v>0</v>
      </c>
      <c r="Q249" t="s">
        <v>25</v>
      </c>
      <c r="R249">
        <f ca="1">DATEDIF(EMP_RAW_Data[[#This Row],[Hire Date]],IF(EMP_RAW_Data[[#This Row],[Exit Date]]="",TODAY(),EMP_RAW_Data[[#This Row],[Exit Date]]),"Y")</f>
        <v>24</v>
      </c>
      <c r="S249" t="str">
        <f>IF(EMP_RAW_Data[[#This Row],[Status]]=1,"Inactive","Active")</f>
        <v>Active</v>
      </c>
    </row>
    <row r="250" spans="1:19" hidden="1" x14ac:dyDescent="0.3">
      <c r="A250" s="1" t="s">
        <v>333</v>
      </c>
      <c r="B250" s="1" t="s">
        <v>33</v>
      </c>
      <c r="C250" s="1" t="s">
        <v>46</v>
      </c>
      <c r="D250" s="1" t="s">
        <v>20</v>
      </c>
      <c r="E250" s="1" t="s">
        <v>21</v>
      </c>
      <c r="F250">
        <v>45</v>
      </c>
      <c r="G250" t="s">
        <v>36</v>
      </c>
      <c r="H250" s="2">
        <v>37316</v>
      </c>
      <c r="I250">
        <v>165181</v>
      </c>
      <c r="J250">
        <v>0.16</v>
      </c>
      <c r="K250">
        <v>191609.96</v>
      </c>
      <c r="L250" s="1" t="s">
        <v>23</v>
      </c>
      <c r="M250" s="1" t="s">
        <v>24</v>
      </c>
      <c r="N250" s="2"/>
      <c r="O250">
        <v>249</v>
      </c>
      <c r="P250">
        <v>0</v>
      </c>
      <c r="Q250" t="s">
        <v>25</v>
      </c>
      <c r="R250">
        <f ca="1">DATEDIF(EMP_RAW_Data[[#This Row],[Hire Date]],IF(EMP_RAW_Data[[#This Row],[Exit Date]]="",TODAY(),EMP_RAW_Data[[#This Row],[Exit Date]]),"Y")</f>
        <v>24</v>
      </c>
      <c r="S250" t="str">
        <f>IF(EMP_RAW_Data[[#This Row],[Status]]=1,"Inactive","Active")</f>
        <v>Active</v>
      </c>
    </row>
    <row r="251" spans="1:19" hidden="1" x14ac:dyDescent="0.3">
      <c r="A251" s="1" t="s">
        <v>334</v>
      </c>
      <c r="B251" s="1" t="s">
        <v>68</v>
      </c>
      <c r="C251" s="1" t="s">
        <v>34</v>
      </c>
      <c r="D251" s="1" t="s">
        <v>47</v>
      </c>
      <c r="E251" s="1" t="s">
        <v>29</v>
      </c>
      <c r="F251">
        <v>50</v>
      </c>
      <c r="G251" t="s">
        <v>36</v>
      </c>
      <c r="H251" s="2">
        <v>38004</v>
      </c>
      <c r="I251">
        <v>247939</v>
      </c>
      <c r="J251">
        <v>0.35</v>
      </c>
      <c r="K251">
        <v>334717.65000000002</v>
      </c>
      <c r="L251" s="1" t="s">
        <v>77</v>
      </c>
      <c r="M251" s="1" t="s">
        <v>81</v>
      </c>
      <c r="N251" s="2"/>
      <c r="O251">
        <v>250</v>
      </c>
      <c r="P251">
        <v>0</v>
      </c>
      <c r="Q251" t="s">
        <v>25</v>
      </c>
      <c r="R251">
        <f ca="1">DATEDIF(EMP_RAW_Data[[#This Row],[Hire Date]],IF(EMP_RAW_Data[[#This Row],[Exit Date]]="",TODAY(),EMP_RAW_Data[[#This Row],[Exit Date]]),"Y")</f>
        <v>22</v>
      </c>
      <c r="S251" t="str">
        <f>IF(EMP_RAW_Data[[#This Row],[Status]]=1,"Inactive","Active")</f>
        <v>Active</v>
      </c>
    </row>
    <row r="252" spans="1:19" hidden="1" x14ac:dyDescent="0.3">
      <c r="A252" s="1" t="s">
        <v>335</v>
      </c>
      <c r="B252" s="1" t="s">
        <v>33</v>
      </c>
      <c r="C252" s="1" t="s">
        <v>62</v>
      </c>
      <c r="D252" s="1" t="s">
        <v>35</v>
      </c>
      <c r="E252" s="1" t="s">
        <v>29</v>
      </c>
      <c r="F252">
        <v>64</v>
      </c>
      <c r="G252" t="s">
        <v>22</v>
      </c>
      <c r="H252" s="2">
        <v>42972</v>
      </c>
      <c r="I252">
        <v>169509</v>
      </c>
      <c r="J252">
        <v>0.18</v>
      </c>
      <c r="K252">
        <v>200020.62</v>
      </c>
      <c r="L252" s="1" t="s">
        <v>77</v>
      </c>
      <c r="M252" s="1" t="s">
        <v>78</v>
      </c>
      <c r="N252" s="2"/>
      <c r="O252">
        <v>251</v>
      </c>
      <c r="P252">
        <v>0</v>
      </c>
      <c r="Q252" t="s">
        <v>25</v>
      </c>
      <c r="R252">
        <f ca="1">DATEDIF(EMP_RAW_Data[[#This Row],[Hire Date]],IF(EMP_RAW_Data[[#This Row],[Exit Date]]="",TODAY(),EMP_RAW_Data[[#This Row],[Exit Date]]),"Y")</f>
        <v>8</v>
      </c>
      <c r="S252" t="str">
        <f>IF(EMP_RAW_Data[[#This Row],[Status]]=1,"Inactive","Active")</f>
        <v>Active</v>
      </c>
    </row>
    <row r="253" spans="1:19" hidden="1" x14ac:dyDescent="0.3">
      <c r="A253" s="1" t="s">
        <v>336</v>
      </c>
      <c r="B253" s="1" t="s">
        <v>18</v>
      </c>
      <c r="C253" s="1" t="s">
        <v>54</v>
      </c>
      <c r="D253" s="1" t="s">
        <v>28</v>
      </c>
      <c r="E253" s="1" t="s">
        <v>21</v>
      </c>
      <c r="F253">
        <v>55</v>
      </c>
      <c r="G253" t="s">
        <v>22</v>
      </c>
      <c r="H253" s="2">
        <v>40552</v>
      </c>
      <c r="I253">
        <v>138521</v>
      </c>
      <c r="J253">
        <v>0.1</v>
      </c>
      <c r="K253">
        <v>152373.1</v>
      </c>
      <c r="L253" s="1" t="s">
        <v>23</v>
      </c>
      <c r="M253" s="1" t="s">
        <v>52</v>
      </c>
      <c r="N253" s="2"/>
      <c r="O253">
        <v>252</v>
      </c>
      <c r="P253">
        <v>0</v>
      </c>
      <c r="Q253" t="s">
        <v>25</v>
      </c>
      <c r="R253">
        <f ca="1">DATEDIF(EMP_RAW_Data[[#This Row],[Hire Date]],IF(EMP_RAW_Data[[#This Row],[Exit Date]]="",TODAY(),EMP_RAW_Data[[#This Row],[Exit Date]]),"Y")</f>
        <v>15</v>
      </c>
      <c r="S253" t="str">
        <f>IF(EMP_RAW_Data[[#This Row],[Status]]=1,"Inactive","Active")</f>
        <v>Active</v>
      </c>
    </row>
    <row r="254" spans="1:19" hidden="1" x14ac:dyDescent="0.3">
      <c r="A254" s="1" t="s">
        <v>337</v>
      </c>
      <c r="B254" s="1" t="s">
        <v>89</v>
      </c>
      <c r="C254" s="1" t="s">
        <v>62</v>
      </c>
      <c r="D254" s="1" t="s">
        <v>35</v>
      </c>
      <c r="E254" s="1" t="s">
        <v>21</v>
      </c>
      <c r="F254">
        <v>45</v>
      </c>
      <c r="G254" t="s">
        <v>36</v>
      </c>
      <c r="H254" s="2">
        <v>41712</v>
      </c>
      <c r="I254">
        <v>113873</v>
      </c>
      <c r="J254">
        <v>0.11</v>
      </c>
      <c r="K254">
        <v>126399.03</v>
      </c>
      <c r="L254" s="1" t="s">
        <v>77</v>
      </c>
      <c r="M254" s="1" t="s">
        <v>81</v>
      </c>
      <c r="N254" s="2"/>
      <c r="O254">
        <v>253</v>
      </c>
      <c r="P254">
        <v>0</v>
      </c>
      <c r="Q254" t="s">
        <v>25</v>
      </c>
      <c r="R254">
        <f ca="1">DATEDIF(EMP_RAW_Data[[#This Row],[Hire Date]],IF(EMP_RAW_Data[[#This Row],[Exit Date]]="",TODAY(),EMP_RAW_Data[[#This Row],[Exit Date]]),"Y")</f>
        <v>12</v>
      </c>
      <c r="S254" t="str">
        <f>IF(EMP_RAW_Data[[#This Row],[Status]]=1,"Inactive","Active")</f>
        <v>Active</v>
      </c>
    </row>
    <row r="255" spans="1:19" hidden="1" x14ac:dyDescent="0.3">
      <c r="A255" s="1" t="s">
        <v>338</v>
      </c>
      <c r="B255" s="1" t="s">
        <v>100</v>
      </c>
      <c r="C255" s="1" t="s">
        <v>19</v>
      </c>
      <c r="D255" s="1" t="s">
        <v>47</v>
      </c>
      <c r="E255" s="1" t="s">
        <v>21</v>
      </c>
      <c r="F255">
        <v>39</v>
      </c>
      <c r="G255" t="s">
        <v>59</v>
      </c>
      <c r="H255" s="2">
        <v>43229</v>
      </c>
      <c r="I255">
        <v>73317</v>
      </c>
      <c r="J255">
        <v>0</v>
      </c>
      <c r="K255">
        <v>73317</v>
      </c>
      <c r="L255" s="1" t="s">
        <v>23</v>
      </c>
      <c r="M255" s="1" t="s">
        <v>52</v>
      </c>
      <c r="N255" s="2"/>
      <c r="O255">
        <v>254</v>
      </c>
      <c r="P255">
        <v>0</v>
      </c>
      <c r="Q255" t="s">
        <v>25</v>
      </c>
      <c r="R255">
        <f ca="1">DATEDIF(EMP_RAW_Data[[#This Row],[Hire Date]],IF(EMP_RAW_Data[[#This Row],[Exit Date]]="",TODAY(),EMP_RAW_Data[[#This Row],[Exit Date]]),"Y")</f>
        <v>7</v>
      </c>
      <c r="S255" t="str">
        <f>IF(EMP_RAW_Data[[#This Row],[Status]]=1,"Inactive","Active")</f>
        <v>Active</v>
      </c>
    </row>
    <row r="256" spans="1:19" hidden="1" x14ac:dyDescent="0.3">
      <c r="A256" s="1" t="s">
        <v>339</v>
      </c>
      <c r="B256" s="1" t="s">
        <v>278</v>
      </c>
      <c r="C256" s="1" t="s">
        <v>19</v>
      </c>
      <c r="D256" s="1" t="s">
        <v>35</v>
      </c>
      <c r="E256" s="1" t="s">
        <v>21</v>
      </c>
      <c r="F256">
        <v>40</v>
      </c>
      <c r="G256" t="s">
        <v>59</v>
      </c>
      <c r="H256" s="2">
        <v>41451</v>
      </c>
      <c r="I256">
        <v>69096</v>
      </c>
      <c r="J256">
        <v>0</v>
      </c>
      <c r="K256">
        <v>69096</v>
      </c>
      <c r="L256" s="1" t="s">
        <v>23</v>
      </c>
      <c r="M256" s="1" t="s">
        <v>24</v>
      </c>
      <c r="N256" s="2"/>
      <c r="O256">
        <v>255</v>
      </c>
      <c r="P256">
        <v>0</v>
      </c>
      <c r="Q256" t="s">
        <v>25</v>
      </c>
      <c r="R256">
        <f ca="1">DATEDIF(EMP_RAW_Data[[#This Row],[Hire Date]],IF(EMP_RAW_Data[[#This Row],[Exit Date]]="",TODAY(),EMP_RAW_Data[[#This Row],[Exit Date]]),"Y")</f>
        <v>12</v>
      </c>
      <c r="S256" t="str">
        <f>IF(EMP_RAW_Data[[#This Row],[Status]]=1,"Inactive","Active")</f>
        <v>Active</v>
      </c>
    </row>
    <row r="257" spans="1:19" hidden="1" x14ac:dyDescent="0.3">
      <c r="A257" s="1" t="s">
        <v>340</v>
      </c>
      <c r="B257" s="1" t="s">
        <v>107</v>
      </c>
      <c r="C257" s="1" t="s">
        <v>58</v>
      </c>
      <c r="D257" s="1" t="s">
        <v>28</v>
      </c>
      <c r="E257" s="1" t="s">
        <v>29</v>
      </c>
      <c r="F257">
        <v>48</v>
      </c>
      <c r="G257" t="s">
        <v>36</v>
      </c>
      <c r="H257" s="2">
        <v>38454</v>
      </c>
      <c r="I257">
        <v>87158</v>
      </c>
      <c r="J257">
        <v>0</v>
      </c>
      <c r="K257">
        <v>87158</v>
      </c>
      <c r="L257" s="1" t="s">
        <v>77</v>
      </c>
      <c r="M257" s="1" t="s">
        <v>78</v>
      </c>
      <c r="N257" s="2"/>
      <c r="O257">
        <v>256</v>
      </c>
      <c r="P257">
        <v>0</v>
      </c>
      <c r="Q257" t="s">
        <v>25</v>
      </c>
      <c r="R257">
        <f ca="1">DATEDIF(EMP_RAW_Data[[#This Row],[Hire Date]],IF(EMP_RAW_Data[[#This Row],[Exit Date]]="",TODAY(),EMP_RAW_Data[[#This Row],[Exit Date]]),"Y")</f>
        <v>20</v>
      </c>
      <c r="S257" t="str">
        <f>IF(EMP_RAW_Data[[#This Row],[Status]]=1,"Inactive","Active")</f>
        <v>Active</v>
      </c>
    </row>
    <row r="258" spans="1:19" hidden="1" x14ac:dyDescent="0.3">
      <c r="A258" s="1" t="s">
        <v>341</v>
      </c>
      <c r="B258" s="1" t="s">
        <v>151</v>
      </c>
      <c r="C258" s="1" t="s">
        <v>62</v>
      </c>
      <c r="D258" s="1" t="s">
        <v>47</v>
      </c>
      <c r="E258" s="1" t="s">
        <v>29</v>
      </c>
      <c r="F258">
        <v>64</v>
      </c>
      <c r="G258" t="s">
        <v>22</v>
      </c>
      <c r="H258" s="2">
        <v>33875</v>
      </c>
      <c r="I258">
        <v>70778</v>
      </c>
      <c r="J258">
        <v>0</v>
      </c>
      <c r="K258">
        <v>70778</v>
      </c>
      <c r="L258" s="1" t="s">
        <v>23</v>
      </c>
      <c r="M258" s="1" t="s">
        <v>55</v>
      </c>
      <c r="N258" s="2"/>
      <c r="O258">
        <v>257</v>
      </c>
      <c r="P258">
        <v>0</v>
      </c>
      <c r="Q258" t="s">
        <v>25</v>
      </c>
      <c r="R258">
        <f ca="1">DATEDIF(EMP_RAW_Data[[#This Row],[Hire Date]],IF(EMP_RAW_Data[[#This Row],[Exit Date]]="",TODAY(),EMP_RAW_Data[[#This Row],[Exit Date]]),"Y")</f>
        <v>33</v>
      </c>
      <c r="S258" t="str">
        <f>IF(EMP_RAW_Data[[#This Row],[Status]]=1,"Inactive","Active")</f>
        <v>Active</v>
      </c>
    </row>
    <row r="259" spans="1:19" hidden="1" x14ac:dyDescent="0.3">
      <c r="A259" s="1" t="s">
        <v>342</v>
      </c>
      <c r="B259" s="1" t="s">
        <v>33</v>
      </c>
      <c r="C259" s="1" t="s">
        <v>58</v>
      </c>
      <c r="D259" s="1" t="s">
        <v>35</v>
      </c>
      <c r="E259" s="1" t="s">
        <v>21</v>
      </c>
      <c r="F259">
        <v>65</v>
      </c>
      <c r="G259" t="s">
        <v>71</v>
      </c>
      <c r="H259" s="2">
        <v>38130</v>
      </c>
      <c r="I259">
        <v>153938</v>
      </c>
      <c r="J259">
        <v>0.2</v>
      </c>
      <c r="K259">
        <v>184725.6</v>
      </c>
      <c r="L259" s="1" t="s">
        <v>23</v>
      </c>
      <c r="M259" s="1" t="s">
        <v>43</v>
      </c>
      <c r="N259" s="2"/>
      <c r="O259">
        <v>258</v>
      </c>
      <c r="P259">
        <v>0</v>
      </c>
      <c r="Q259" t="s">
        <v>25</v>
      </c>
      <c r="R259">
        <f ca="1">DATEDIF(EMP_RAW_Data[[#This Row],[Hire Date]],IF(EMP_RAW_Data[[#This Row],[Exit Date]]="",TODAY(),EMP_RAW_Data[[#This Row],[Exit Date]]),"Y")</f>
        <v>21</v>
      </c>
      <c r="S259" t="str">
        <f>IF(EMP_RAW_Data[[#This Row],[Status]]=1,"Inactive","Active")</f>
        <v>Active</v>
      </c>
    </row>
    <row r="260" spans="1:19" hidden="1" x14ac:dyDescent="0.3">
      <c r="A260" s="1" t="s">
        <v>343</v>
      </c>
      <c r="B260" s="1" t="s">
        <v>208</v>
      </c>
      <c r="C260" s="1" t="s">
        <v>19</v>
      </c>
      <c r="D260" s="1" t="s">
        <v>20</v>
      </c>
      <c r="E260" s="1" t="s">
        <v>29</v>
      </c>
      <c r="F260">
        <v>43</v>
      </c>
      <c r="G260" t="s">
        <v>59</v>
      </c>
      <c r="H260" s="2">
        <v>43224</v>
      </c>
      <c r="I260">
        <v>59888</v>
      </c>
      <c r="J260">
        <v>0</v>
      </c>
      <c r="K260">
        <v>59888</v>
      </c>
      <c r="L260" s="1" t="s">
        <v>30</v>
      </c>
      <c r="M260" s="1" t="s">
        <v>90</v>
      </c>
      <c r="N260" s="2"/>
      <c r="O260">
        <v>259</v>
      </c>
      <c r="P260">
        <v>0</v>
      </c>
      <c r="Q260" t="s">
        <v>25</v>
      </c>
      <c r="R260">
        <f ca="1">DATEDIF(EMP_RAW_Data[[#This Row],[Hire Date]],IF(EMP_RAW_Data[[#This Row],[Exit Date]]="",TODAY(),EMP_RAW_Data[[#This Row],[Exit Date]]),"Y")</f>
        <v>7</v>
      </c>
      <c r="S260" t="str">
        <f>IF(EMP_RAW_Data[[#This Row],[Status]]=1,"Inactive","Active")</f>
        <v>Active</v>
      </c>
    </row>
    <row r="261" spans="1:19" hidden="1" x14ac:dyDescent="0.3">
      <c r="A261" s="1" t="s">
        <v>344</v>
      </c>
      <c r="B261" s="1" t="s">
        <v>151</v>
      </c>
      <c r="C261" s="1" t="s">
        <v>62</v>
      </c>
      <c r="D261" s="1" t="s">
        <v>47</v>
      </c>
      <c r="E261" s="1" t="s">
        <v>29</v>
      </c>
      <c r="F261">
        <v>50</v>
      </c>
      <c r="G261" t="s">
        <v>36</v>
      </c>
      <c r="H261" s="2">
        <v>43447</v>
      </c>
      <c r="I261">
        <v>63098</v>
      </c>
      <c r="J261">
        <v>0</v>
      </c>
      <c r="K261">
        <v>63098</v>
      </c>
      <c r="L261" s="1" t="s">
        <v>23</v>
      </c>
      <c r="M261" s="1" t="s">
        <v>74</v>
      </c>
      <c r="N261" s="2"/>
      <c r="O261">
        <v>260</v>
      </c>
      <c r="P261">
        <v>0</v>
      </c>
      <c r="Q261" t="s">
        <v>25</v>
      </c>
      <c r="R261">
        <f ca="1">DATEDIF(EMP_RAW_Data[[#This Row],[Hire Date]],IF(EMP_RAW_Data[[#This Row],[Exit Date]]="",TODAY(),EMP_RAW_Data[[#This Row],[Exit Date]]),"Y")</f>
        <v>7</v>
      </c>
      <c r="S261" t="str">
        <f>IF(EMP_RAW_Data[[#This Row],[Status]]=1,"Inactive","Active")</f>
        <v>Active</v>
      </c>
    </row>
    <row r="262" spans="1:19" hidden="1" x14ac:dyDescent="0.3">
      <c r="A262" s="1" t="s">
        <v>345</v>
      </c>
      <c r="B262" s="1" t="s">
        <v>68</v>
      </c>
      <c r="C262" s="1" t="s">
        <v>34</v>
      </c>
      <c r="D262" s="1" t="s">
        <v>47</v>
      </c>
      <c r="E262" s="1" t="s">
        <v>21</v>
      </c>
      <c r="F262">
        <v>27</v>
      </c>
      <c r="G262" t="s">
        <v>40</v>
      </c>
      <c r="H262" s="2">
        <v>44545</v>
      </c>
      <c r="I262">
        <v>255369</v>
      </c>
      <c r="J262">
        <v>0.33</v>
      </c>
      <c r="K262">
        <v>339640.77</v>
      </c>
      <c r="L262" s="1" t="s">
        <v>77</v>
      </c>
      <c r="M262" s="1" t="s">
        <v>148</v>
      </c>
      <c r="N262" s="2"/>
      <c r="O262">
        <v>261</v>
      </c>
      <c r="P262">
        <v>0</v>
      </c>
      <c r="Q262" t="s">
        <v>25</v>
      </c>
      <c r="R262">
        <f ca="1">DATEDIF(EMP_RAW_Data[[#This Row],[Hire Date]],IF(EMP_RAW_Data[[#This Row],[Exit Date]]="",TODAY(),EMP_RAW_Data[[#This Row],[Exit Date]]),"Y")</f>
        <v>4</v>
      </c>
      <c r="S262" t="str">
        <f>IF(EMP_RAW_Data[[#This Row],[Status]]=1,"Inactive","Active")</f>
        <v>Active</v>
      </c>
    </row>
    <row r="263" spans="1:19" hidden="1" x14ac:dyDescent="0.3">
      <c r="A263" s="1" t="s">
        <v>346</v>
      </c>
      <c r="B263" s="1" t="s">
        <v>18</v>
      </c>
      <c r="C263" s="1" t="s">
        <v>58</v>
      </c>
      <c r="D263" s="1" t="s">
        <v>28</v>
      </c>
      <c r="E263" s="1" t="s">
        <v>21</v>
      </c>
      <c r="F263">
        <v>55</v>
      </c>
      <c r="G263" t="s">
        <v>22</v>
      </c>
      <c r="H263" s="2">
        <v>38301</v>
      </c>
      <c r="I263">
        <v>142318</v>
      </c>
      <c r="J263">
        <v>0.14000000000000001</v>
      </c>
      <c r="K263">
        <v>162242.51999999999</v>
      </c>
      <c r="L263" s="1" t="s">
        <v>23</v>
      </c>
      <c r="M263" s="1" t="s">
        <v>37</v>
      </c>
      <c r="N263" s="2"/>
      <c r="O263">
        <v>262</v>
      </c>
      <c r="P263">
        <v>0</v>
      </c>
      <c r="Q263" t="s">
        <v>25</v>
      </c>
      <c r="R263">
        <f ca="1">DATEDIF(EMP_RAW_Data[[#This Row],[Hire Date]],IF(EMP_RAW_Data[[#This Row],[Exit Date]]="",TODAY(),EMP_RAW_Data[[#This Row],[Exit Date]]),"Y")</f>
        <v>21</v>
      </c>
      <c r="S263" t="str">
        <f>IF(EMP_RAW_Data[[#This Row],[Status]]=1,"Inactive","Active")</f>
        <v>Active</v>
      </c>
    </row>
    <row r="264" spans="1:19" x14ac:dyDescent="0.3">
      <c r="A264" s="1" t="s">
        <v>347</v>
      </c>
      <c r="B264" s="1" t="s">
        <v>130</v>
      </c>
      <c r="C264" s="1" t="s">
        <v>58</v>
      </c>
      <c r="D264" s="1" t="s">
        <v>28</v>
      </c>
      <c r="E264" s="1" t="s">
        <v>29</v>
      </c>
      <c r="F264">
        <v>41</v>
      </c>
      <c r="G264" t="s">
        <v>59</v>
      </c>
      <c r="H264" s="2">
        <v>38219</v>
      </c>
      <c r="I264">
        <v>49186</v>
      </c>
      <c r="J264">
        <v>0</v>
      </c>
      <c r="K264">
        <v>49186</v>
      </c>
      <c r="L264" s="1" t="s">
        <v>23</v>
      </c>
      <c r="M264" s="1" t="s">
        <v>55</v>
      </c>
      <c r="N264" s="2">
        <v>39616</v>
      </c>
      <c r="O264">
        <v>263</v>
      </c>
      <c r="P264">
        <v>1</v>
      </c>
      <c r="Q264" t="s">
        <v>25</v>
      </c>
      <c r="R264">
        <f ca="1">DATEDIF(EMP_RAW_Data[[#This Row],[Hire Date]],IF(EMP_RAW_Data[[#This Row],[Exit Date]]="",TODAY(),EMP_RAW_Data[[#This Row],[Exit Date]]),"Y")</f>
        <v>3</v>
      </c>
      <c r="S264" t="str">
        <f>IF(EMP_RAW_Data[[#This Row],[Status]]=1,"Inactive","Active")</f>
        <v>Inactive</v>
      </c>
    </row>
    <row r="265" spans="1:19" hidden="1" x14ac:dyDescent="0.3">
      <c r="A265" s="1" t="s">
        <v>348</v>
      </c>
      <c r="B265" s="1" t="s">
        <v>68</v>
      </c>
      <c r="C265" s="1" t="s">
        <v>58</v>
      </c>
      <c r="D265" s="1" t="s">
        <v>20</v>
      </c>
      <c r="E265" s="1" t="s">
        <v>21</v>
      </c>
      <c r="F265">
        <v>34</v>
      </c>
      <c r="G265" t="s">
        <v>40</v>
      </c>
      <c r="H265" s="2">
        <v>43673</v>
      </c>
      <c r="I265">
        <v>220937</v>
      </c>
      <c r="J265">
        <v>0.38</v>
      </c>
      <c r="K265">
        <v>304893.06</v>
      </c>
      <c r="L265" s="1" t="s">
        <v>23</v>
      </c>
      <c r="M265" s="1" t="s">
        <v>55</v>
      </c>
      <c r="N265" s="2"/>
      <c r="O265">
        <v>264</v>
      </c>
      <c r="P265">
        <v>0</v>
      </c>
      <c r="Q265" t="s">
        <v>25</v>
      </c>
      <c r="R265">
        <f ca="1">DATEDIF(EMP_RAW_Data[[#This Row],[Hire Date]],IF(EMP_RAW_Data[[#This Row],[Exit Date]]="",TODAY(),EMP_RAW_Data[[#This Row],[Exit Date]]),"Y")</f>
        <v>6</v>
      </c>
      <c r="S265" t="str">
        <f>IF(EMP_RAW_Data[[#This Row],[Status]]=1,"Inactive","Active")</f>
        <v>Active</v>
      </c>
    </row>
    <row r="266" spans="1:19" hidden="1" x14ac:dyDescent="0.3">
      <c r="A266" s="1" t="s">
        <v>349</v>
      </c>
      <c r="B266" s="1" t="s">
        <v>33</v>
      </c>
      <c r="C266" s="1" t="s">
        <v>19</v>
      </c>
      <c r="D266" s="1" t="s">
        <v>35</v>
      </c>
      <c r="E266" s="1" t="s">
        <v>21</v>
      </c>
      <c r="F266">
        <v>47</v>
      </c>
      <c r="G266" t="s">
        <v>36</v>
      </c>
      <c r="H266" s="2">
        <v>41208</v>
      </c>
      <c r="I266">
        <v>183156</v>
      </c>
      <c r="J266">
        <v>0.3</v>
      </c>
      <c r="K266">
        <v>238102.8</v>
      </c>
      <c r="L266" s="1" t="s">
        <v>23</v>
      </c>
      <c r="M266" s="1" t="s">
        <v>24</v>
      </c>
      <c r="N266" s="2"/>
      <c r="O266">
        <v>265</v>
      </c>
      <c r="P266">
        <v>0</v>
      </c>
      <c r="Q266" t="s">
        <v>25</v>
      </c>
      <c r="R266">
        <f ca="1">DATEDIF(EMP_RAW_Data[[#This Row],[Hire Date]],IF(EMP_RAW_Data[[#This Row],[Exit Date]]="",TODAY(),EMP_RAW_Data[[#This Row],[Exit Date]]),"Y")</f>
        <v>13</v>
      </c>
      <c r="S266" t="str">
        <f>IF(EMP_RAW_Data[[#This Row],[Status]]=1,"Inactive","Active")</f>
        <v>Active</v>
      </c>
    </row>
    <row r="267" spans="1:19" hidden="1" x14ac:dyDescent="0.3">
      <c r="A267" s="1" t="s">
        <v>350</v>
      </c>
      <c r="B267" s="1" t="s">
        <v>68</v>
      </c>
      <c r="C267" s="1" t="s">
        <v>19</v>
      </c>
      <c r="D267" s="1" t="s">
        <v>35</v>
      </c>
      <c r="E267" s="1" t="s">
        <v>21</v>
      </c>
      <c r="F267">
        <v>32</v>
      </c>
      <c r="G267" t="s">
        <v>40</v>
      </c>
      <c r="H267" s="2">
        <v>44034</v>
      </c>
      <c r="I267">
        <v>192749</v>
      </c>
      <c r="J267">
        <v>0.31</v>
      </c>
      <c r="K267">
        <v>252501.19</v>
      </c>
      <c r="L267" s="1" t="s">
        <v>23</v>
      </c>
      <c r="M267" s="1" t="s">
        <v>37</v>
      </c>
      <c r="N267" s="2"/>
      <c r="O267">
        <v>266</v>
      </c>
      <c r="P267">
        <v>0</v>
      </c>
      <c r="Q267" t="s">
        <v>25</v>
      </c>
      <c r="R267">
        <f ca="1">DATEDIF(EMP_RAW_Data[[#This Row],[Hire Date]],IF(EMP_RAW_Data[[#This Row],[Exit Date]]="",TODAY(),EMP_RAW_Data[[#This Row],[Exit Date]]),"Y")</f>
        <v>5</v>
      </c>
      <c r="S267" t="str">
        <f>IF(EMP_RAW_Data[[#This Row],[Status]]=1,"Inactive","Active")</f>
        <v>Active</v>
      </c>
    </row>
    <row r="268" spans="1:19" hidden="1" x14ac:dyDescent="0.3">
      <c r="A268" s="1" t="s">
        <v>351</v>
      </c>
      <c r="B268" s="1" t="s">
        <v>18</v>
      </c>
      <c r="C268" s="1" t="s">
        <v>19</v>
      </c>
      <c r="D268" s="1" t="s">
        <v>28</v>
      </c>
      <c r="E268" s="1" t="s">
        <v>21</v>
      </c>
      <c r="F268">
        <v>39</v>
      </c>
      <c r="G268" t="s">
        <v>59</v>
      </c>
      <c r="H268" s="2">
        <v>42819</v>
      </c>
      <c r="I268">
        <v>135325</v>
      </c>
      <c r="J268">
        <v>0.14000000000000001</v>
      </c>
      <c r="K268">
        <v>154270.5</v>
      </c>
      <c r="L268" s="1" t="s">
        <v>23</v>
      </c>
      <c r="M268" s="1" t="s">
        <v>43</v>
      </c>
      <c r="N268" s="2"/>
      <c r="O268">
        <v>267</v>
      </c>
      <c r="P268">
        <v>0</v>
      </c>
      <c r="Q268" t="s">
        <v>25</v>
      </c>
      <c r="R268">
        <f ca="1">DATEDIF(EMP_RAW_Data[[#This Row],[Hire Date]],IF(EMP_RAW_Data[[#This Row],[Exit Date]]="",TODAY(),EMP_RAW_Data[[#This Row],[Exit Date]]),"Y")</f>
        <v>8</v>
      </c>
      <c r="S268" t="str">
        <f>IF(EMP_RAW_Data[[#This Row],[Status]]=1,"Inactive","Active")</f>
        <v>Active</v>
      </c>
    </row>
    <row r="269" spans="1:19" hidden="1" x14ac:dyDescent="0.3">
      <c r="A269" s="1" t="s">
        <v>352</v>
      </c>
      <c r="B269" s="1" t="s">
        <v>42</v>
      </c>
      <c r="C269" s="1" t="s">
        <v>46</v>
      </c>
      <c r="D269" s="1" t="s">
        <v>35</v>
      </c>
      <c r="E269" s="1" t="s">
        <v>21</v>
      </c>
      <c r="F269">
        <v>26</v>
      </c>
      <c r="G269" t="s">
        <v>40</v>
      </c>
      <c r="H269" s="2">
        <v>43752</v>
      </c>
      <c r="I269">
        <v>79356</v>
      </c>
      <c r="J269">
        <v>0</v>
      </c>
      <c r="K269">
        <v>79356</v>
      </c>
      <c r="L269" s="1" t="s">
        <v>23</v>
      </c>
      <c r="M269" s="1" t="s">
        <v>43</v>
      </c>
      <c r="N269" s="2"/>
      <c r="O269">
        <v>268</v>
      </c>
      <c r="P269">
        <v>0</v>
      </c>
      <c r="Q269" t="s">
        <v>25</v>
      </c>
      <c r="R269">
        <f ca="1">DATEDIF(EMP_RAW_Data[[#This Row],[Hire Date]],IF(EMP_RAW_Data[[#This Row],[Exit Date]]="",TODAY(),EMP_RAW_Data[[#This Row],[Exit Date]]),"Y")</f>
        <v>6</v>
      </c>
      <c r="S269" t="str">
        <f>IF(EMP_RAW_Data[[#This Row],[Status]]=1,"Inactive","Active")</f>
        <v>Active</v>
      </c>
    </row>
    <row r="270" spans="1:19" hidden="1" x14ac:dyDescent="0.3">
      <c r="A270" s="1" t="s">
        <v>353</v>
      </c>
      <c r="B270" s="1" t="s">
        <v>180</v>
      </c>
      <c r="C270" s="1" t="s">
        <v>62</v>
      </c>
      <c r="D270" s="1" t="s">
        <v>28</v>
      </c>
      <c r="E270" s="1" t="s">
        <v>29</v>
      </c>
      <c r="F270">
        <v>40</v>
      </c>
      <c r="G270" t="s">
        <v>59</v>
      </c>
      <c r="H270" s="2">
        <v>38540</v>
      </c>
      <c r="I270">
        <v>74412</v>
      </c>
      <c r="J270">
        <v>0</v>
      </c>
      <c r="K270">
        <v>74412</v>
      </c>
      <c r="L270" s="1" t="s">
        <v>23</v>
      </c>
      <c r="M270" s="1" t="s">
        <v>24</v>
      </c>
      <c r="N270" s="2"/>
      <c r="O270">
        <v>269</v>
      </c>
      <c r="P270">
        <v>0</v>
      </c>
      <c r="Q270" t="s">
        <v>25</v>
      </c>
      <c r="R270">
        <f ca="1">DATEDIF(EMP_RAW_Data[[#This Row],[Hire Date]],IF(EMP_RAW_Data[[#This Row],[Exit Date]]="",TODAY(),EMP_RAW_Data[[#This Row],[Exit Date]]),"Y")</f>
        <v>20</v>
      </c>
      <c r="S270" t="str">
        <f>IF(EMP_RAW_Data[[#This Row],[Status]]=1,"Inactive","Active")</f>
        <v>Active</v>
      </c>
    </row>
    <row r="271" spans="1:19" hidden="1" x14ac:dyDescent="0.3">
      <c r="A271" s="1" t="s">
        <v>354</v>
      </c>
      <c r="B271" s="1" t="s">
        <v>39</v>
      </c>
      <c r="C271" s="1" t="s">
        <v>19</v>
      </c>
      <c r="D271" s="1" t="s">
        <v>28</v>
      </c>
      <c r="E271" s="1" t="s">
        <v>21</v>
      </c>
      <c r="F271">
        <v>32</v>
      </c>
      <c r="G271" t="s">
        <v>40</v>
      </c>
      <c r="H271" s="2">
        <v>43010</v>
      </c>
      <c r="I271">
        <v>61886</v>
      </c>
      <c r="J271">
        <v>0.09</v>
      </c>
      <c r="K271">
        <v>67455.740000000005</v>
      </c>
      <c r="L271" s="1" t="s">
        <v>77</v>
      </c>
      <c r="M271" s="1" t="s">
        <v>81</v>
      </c>
      <c r="N271" s="2"/>
      <c r="O271">
        <v>270</v>
      </c>
      <c r="P271">
        <v>0</v>
      </c>
      <c r="Q271" t="s">
        <v>25</v>
      </c>
      <c r="R271">
        <f ca="1">DATEDIF(EMP_RAW_Data[[#This Row],[Hire Date]],IF(EMP_RAW_Data[[#This Row],[Exit Date]]="",TODAY(),EMP_RAW_Data[[#This Row],[Exit Date]]),"Y")</f>
        <v>8</v>
      </c>
      <c r="S271" t="str">
        <f>IF(EMP_RAW_Data[[#This Row],[Status]]=1,"Inactive","Active")</f>
        <v>Active</v>
      </c>
    </row>
    <row r="272" spans="1:19" hidden="1" x14ac:dyDescent="0.3">
      <c r="A272" s="1" t="s">
        <v>355</v>
      </c>
      <c r="B272" s="1" t="s">
        <v>33</v>
      </c>
      <c r="C272" s="1" t="s">
        <v>54</v>
      </c>
      <c r="D272" s="1" t="s">
        <v>20</v>
      </c>
      <c r="E272" s="1" t="s">
        <v>21</v>
      </c>
      <c r="F272">
        <v>58</v>
      </c>
      <c r="G272" t="s">
        <v>22</v>
      </c>
      <c r="H272" s="2">
        <v>37755</v>
      </c>
      <c r="I272">
        <v>173071</v>
      </c>
      <c r="J272">
        <v>0.28999999999999998</v>
      </c>
      <c r="K272">
        <v>223261.59</v>
      </c>
      <c r="L272" s="1" t="s">
        <v>23</v>
      </c>
      <c r="M272" s="1" t="s">
        <v>74</v>
      </c>
      <c r="N272" s="2"/>
      <c r="O272">
        <v>271</v>
      </c>
      <c r="P272">
        <v>0</v>
      </c>
      <c r="Q272" t="s">
        <v>25</v>
      </c>
      <c r="R272">
        <f ca="1">DATEDIF(EMP_RAW_Data[[#This Row],[Hire Date]],IF(EMP_RAW_Data[[#This Row],[Exit Date]]="",TODAY(),EMP_RAW_Data[[#This Row],[Exit Date]]),"Y")</f>
        <v>22</v>
      </c>
      <c r="S272" t="str">
        <f>IF(EMP_RAW_Data[[#This Row],[Status]]=1,"Inactive","Active")</f>
        <v>Active</v>
      </c>
    </row>
    <row r="273" spans="1:19" hidden="1" x14ac:dyDescent="0.3">
      <c r="A273" s="1" t="s">
        <v>356</v>
      </c>
      <c r="B273" s="1" t="s">
        <v>124</v>
      </c>
      <c r="C273" s="1" t="s">
        <v>62</v>
      </c>
      <c r="D273" s="1" t="s">
        <v>20</v>
      </c>
      <c r="E273" s="1" t="s">
        <v>21</v>
      </c>
      <c r="F273">
        <v>58</v>
      </c>
      <c r="G273" t="s">
        <v>22</v>
      </c>
      <c r="H273" s="2">
        <v>34999</v>
      </c>
      <c r="I273">
        <v>70189</v>
      </c>
      <c r="J273">
        <v>0</v>
      </c>
      <c r="K273">
        <v>70189</v>
      </c>
      <c r="L273" s="1" t="s">
        <v>23</v>
      </c>
      <c r="M273" s="1" t="s">
        <v>74</v>
      </c>
      <c r="N273" s="2"/>
      <c r="O273">
        <v>272</v>
      </c>
      <c r="P273">
        <v>0</v>
      </c>
      <c r="Q273" t="s">
        <v>25</v>
      </c>
      <c r="R273">
        <f ca="1">DATEDIF(EMP_RAW_Data[[#This Row],[Hire Date]],IF(EMP_RAW_Data[[#This Row],[Exit Date]]="",TODAY(),EMP_RAW_Data[[#This Row],[Exit Date]]),"Y")</f>
        <v>30</v>
      </c>
      <c r="S273" t="str">
        <f>IF(EMP_RAW_Data[[#This Row],[Status]]=1,"Inactive","Active")</f>
        <v>Active</v>
      </c>
    </row>
    <row r="274" spans="1:19" hidden="1" x14ac:dyDescent="0.3">
      <c r="A274" s="1" t="s">
        <v>357</v>
      </c>
      <c r="B274" s="1" t="s">
        <v>68</v>
      </c>
      <c r="C274" s="1" t="s">
        <v>46</v>
      </c>
      <c r="D274" s="1" t="s">
        <v>20</v>
      </c>
      <c r="E274" s="1" t="s">
        <v>21</v>
      </c>
      <c r="F274">
        <v>42</v>
      </c>
      <c r="G274" t="s">
        <v>59</v>
      </c>
      <c r="H274" s="2">
        <v>41528</v>
      </c>
      <c r="I274">
        <v>181452</v>
      </c>
      <c r="J274">
        <v>0.3</v>
      </c>
      <c r="K274">
        <v>235887.6</v>
      </c>
      <c r="L274" s="1" t="s">
        <v>23</v>
      </c>
      <c r="M274" s="1" t="s">
        <v>74</v>
      </c>
      <c r="N274" s="2"/>
      <c r="O274">
        <v>273</v>
      </c>
      <c r="P274">
        <v>0</v>
      </c>
      <c r="Q274" t="s">
        <v>25</v>
      </c>
      <c r="R274">
        <f ca="1">DATEDIF(EMP_RAW_Data[[#This Row],[Hire Date]],IF(EMP_RAW_Data[[#This Row],[Exit Date]]="",TODAY(),EMP_RAW_Data[[#This Row],[Exit Date]]),"Y")</f>
        <v>12</v>
      </c>
      <c r="S274" t="str">
        <f>IF(EMP_RAW_Data[[#This Row],[Status]]=1,"Inactive","Active")</f>
        <v>Active</v>
      </c>
    </row>
    <row r="275" spans="1:19" hidden="1" x14ac:dyDescent="0.3">
      <c r="A275" s="1" t="s">
        <v>358</v>
      </c>
      <c r="B275" s="1" t="s">
        <v>118</v>
      </c>
      <c r="C275" s="1" t="s">
        <v>58</v>
      </c>
      <c r="D275" s="1" t="s">
        <v>35</v>
      </c>
      <c r="E275" s="1" t="s">
        <v>29</v>
      </c>
      <c r="F275">
        <v>26</v>
      </c>
      <c r="G275" t="s">
        <v>40</v>
      </c>
      <c r="H275" s="2">
        <v>44267</v>
      </c>
      <c r="I275">
        <v>70369</v>
      </c>
      <c r="J275">
        <v>0</v>
      </c>
      <c r="K275">
        <v>70369</v>
      </c>
      <c r="L275" s="1" t="s">
        <v>23</v>
      </c>
      <c r="M275" s="1" t="s">
        <v>24</v>
      </c>
      <c r="N275" s="2"/>
      <c r="O275">
        <v>274</v>
      </c>
      <c r="P275">
        <v>0</v>
      </c>
      <c r="Q275" t="s">
        <v>25</v>
      </c>
      <c r="R275">
        <f ca="1">DATEDIF(EMP_RAW_Data[[#This Row],[Hire Date]],IF(EMP_RAW_Data[[#This Row],[Exit Date]]="",TODAY(),EMP_RAW_Data[[#This Row],[Exit Date]]),"Y")</f>
        <v>5</v>
      </c>
      <c r="S275" t="str">
        <f>IF(EMP_RAW_Data[[#This Row],[Status]]=1,"Inactive","Active")</f>
        <v>Active</v>
      </c>
    </row>
    <row r="276" spans="1:19" hidden="1" x14ac:dyDescent="0.3">
      <c r="A276" s="1" t="s">
        <v>359</v>
      </c>
      <c r="B276" s="1" t="s">
        <v>42</v>
      </c>
      <c r="C276" s="1" t="s">
        <v>54</v>
      </c>
      <c r="D276" s="1" t="s">
        <v>28</v>
      </c>
      <c r="E276" s="1" t="s">
        <v>29</v>
      </c>
      <c r="F276">
        <v>38</v>
      </c>
      <c r="G276" t="s">
        <v>59</v>
      </c>
      <c r="H276" s="2">
        <v>39634</v>
      </c>
      <c r="I276">
        <v>78056</v>
      </c>
      <c r="J276">
        <v>0</v>
      </c>
      <c r="K276">
        <v>78056</v>
      </c>
      <c r="L276" s="1" t="s">
        <v>77</v>
      </c>
      <c r="M276" s="1" t="s">
        <v>148</v>
      </c>
      <c r="N276" s="2"/>
      <c r="O276">
        <v>275</v>
      </c>
      <c r="P276">
        <v>0</v>
      </c>
      <c r="Q276" t="s">
        <v>25</v>
      </c>
      <c r="R276">
        <f ca="1">DATEDIF(EMP_RAW_Data[[#This Row],[Hire Date]],IF(EMP_RAW_Data[[#This Row],[Exit Date]]="",TODAY(),EMP_RAW_Data[[#This Row],[Exit Date]]),"Y")</f>
        <v>17</v>
      </c>
      <c r="S276" t="str">
        <f>IF(EMP_RAW_Data[[#This Row],[Status]]=1,"Inactive","Active")</f>
        <v>Active</v>
      </c>
    </row>
    <row r="277" spans="1:19" hidden="1" x14ac:dyDescent="0.3">
      <c r="A277" s="1" t="s">
        <v>360</v>
      </c>
      <c r="B277" s="1" t="s">
        <v>33</v>
      </c>
      <c r="C277" s="1" t="s">
        <v>34</v>
      </c>
      <c r="D277" s="1" t="s">
        <v>20</v>
      </c>
      <c r="E277" s="1" t="s">
        <v>29</v>
      </c>
      <c r="F277">
        <v>64</v>
      </c>
      <c r="G277" t="s">
        <v>22</v>
      </c>
      <c r="H277" s="2">
        <v>35187</v>
      </c>
      <c r="I277">
        <v>189933</v>
      </c>
      <c r="J277">
        <v>0.23</v>
      </c>
      <c r="K277">
        <v>233617.59</v>
      </c>
      <c r="L277" s="1" t="s">
        <v>23</v>
      </c>
      <c r="M277" s="1" t="s">
        <v>52</v>
      </c>
      <c r="N277" s="2"/>
      <c r="O277">
        <v>276</v>
      </c>
      <c r="P277">
        <v>0</v>
      </c>
      <c r="Q277" t="s">
        <v>25</v>
      </c>
      <c r="R277">
        <f ca="1">DATEDIF(EMP_RAW_Data[[#This Row],[Hire Date]],IF(EMP_RAW_Data[[#This Row],[Exit Date]]="",TODAY(),EMP_RAW_Data[[#This Row],[Exit Date]]),"Y")</f>
        <v>29</v>
      </c>
      <c r="S277" t="str">
        <f>IF(EMP_RAW_Data[[#This Row],[Status]]=1,"Inactive","Active")</f>
        <v>Active</v>
      </c>
    </row>
    <row r="278" spans="1:19" hidden="1" x14ac:dyDescent="0.3">
      <c r="A278" s="1" t="s">
        <v>361</v>
      </c>
      <c r="B278" s="1" t="s">
        <v>126</v>
      </c>
      <c r="C278" s="1" t="s">
        <v>62</v>
      </c>
      <c r="D278" s="1" t="s">
        <v>35</v>
      </c>
      <c r="E278" s="1" t="s">
        <v>29</v>
      </c>
      <c r="F278">
        <v>38</v>
      </c>
      <c r="G278" t="s">
        <v>59</v>
      </c>
      <c r="H278" s="2">
        <v>40360</v>
      </c>
      <c r="I278">
        <v>78237</v>
      </c>
      <c r="J278">
        <v>0</v>
      </c>
      <c r="K278">
        <v>78237</v>
      </c>
      <c r="L278" s="1" t="s">
        <v>23</v>
      </c>
      <c r="M278" s="1" t="s">
        <v>43</v>
      </c>
      <c r="N278" s="2"/>
      <c r="O278">
        <v>277</v>
      </c>
      <c r="P278">
        <v>0</v>
      </c>
      <c r="Q278" t="s">
        <v>25</v>
      </c>
      <c r="R278">
        <f ca="1">DATEDIF(EMP_RAW_Data[[#This Row],[Hire Date]],IF(EMP_RAW_Data[[#This Row],[Exit Date]]="",TODAY(),EMP_RAW_Data[[#This Row],[Exit Date]]),"Y")</f>
        <v>15</v>
      </c>
      <c r="S278" t="str">
        <f>IF(EMP_RAW_Data[[#This Row],[Status]]=1,"Inactive","Active")</f>
        <v>Active</v>
      </c>
    </row>
    <row r="279" spans="1:19" hidden="1" x14ac:dyDescent="0.3">
      <c r="A279" s="1" t="s">
        <v>362</v>
      </c>
      <c r="B279" s="1" t="s">
        <v>51</v>
      </c>
      <c r="C279" s="1" t="s">
        <v>54</v>
      </c>
      <c r="D279" s="1" t="s">
        <v>20</v>
      </c>
      <c r="E279" s="1" t="s">
        <v>21</v>
      </c>
      <c r="F279">
        <v>55</v>
      </c>
      <c r="G279" t="s">
        <v>22</v>
      </c>
      <c r="H279" s="2">
        <v>35242</v>
      </c>
      <c r="I279">
        <v>48687</v>
      </c>
      <c r="J279">
        <v>0</v>
      </c>
      <c r="K279">
        <v>48687</v>
      </c>
      <c r="L279" s="1" t="s">
        <v>77</v>
      </c>
      <c r="M279" s="1" t="s">
        <v>81</v>
      </c>
      <c r="N279" s="2"/>
      <c r="O279">
        <v>278</v>
      </c>
      <c r="P279">
        <v>0</v>
      </c>
      <c r="Q279" t="s">
        <v>25</v>
      </c>
      <c r="R279">
        <f ca="1">DATEDIF(EMP_RAW_Data[[#This Row],[Hire Date]],IF(EMP_RAW_Data[[#This Row],[Exit Date]]="",TODAY(),EMP_RAW_Data[[#This Row],[Exit Date]]),"Y")</f>
        <v>29</v>
      </c>
      <c r="S279" t="str">
        <f>IF(EMP_RAW_Data[[#This Row],[Status]]=1,"Inactive","Active")</f>
        <v>Active</v>
      </c>
    </row>
    <row r="280" spans="1:19" hidden="1" x14ac:dyDescent="0.3">
      <c r="A280" s="1" t="s">
        <v>363</v>
      </c>
      <c r="B280" s="1" t="s">
        <v>18</v>
      </c>
      <c r="C280" s="1" t="s">
        <v>69</v>
      </c>
      <c r="D280" s="1" t="s">
        <v>28</v>
      </c>
      <c r="E280" s="1" t="s">
        <v>21</v>
      </c>
      <c r="F280">
        <v>45</v>
      </c>
      <c r="G280" t="s">
        <v>36</v>
      </c>
      <c r="H280" s="2">
        <v>38218</v>
      </c>
      <c r="I280">
        <v>121065</v>
      </c>
      <c r="J280">
        <v>0.15</v>
      </c>
      <c r="K280">
        <v>139224.75</v>
      </c>
      <c r="L280" s="1" t="s">
        <v>77</v>
      </c>
      <c r="M280" s="1" t="s">
        <v>81</v>
      </c>
      <c r="N280" s="2"/>
      <c r="O280">
        <v>279</v>
      </c>
      <c r="P280">
        <v>0</v>
      </c>
      <c r="Q280" t="s">
        <v>25</v>
      </c>
      <c r="R280">
        <f ca="1">DATEDIF(EMP_RAW_Data[[#This Row],[Hire Date]],IF(EMP_RAW_Data[[#This Row],[Exit Date]]="",TODAY(),EMP_RAW_Data[[#This Row],[Exit Date]]),"Y")</f>
        <v>21</v>
      </c>
      <c r="S280" t="str">
        <f>IF(EMP_RAW_Data[[#This Row],[Status]]=1,"Inactive","Active")</f>
        <v>Active</v>
      </c>
    </row>
    <row r="281" spans="1:19" hidden="1" x14ac:dyDescent="0.3">
      <c r="A281" s="1" t="s">
        <v>364</v>
      </c>
      <c r="B281" s="1" t="s">
        <v>42</v>
      </c>
      <c r="C281" s="1" t="s">
        <v>46</v>
      </c>
      <c r="D281" s="1" t="s">
        <v>47</v>
      </c>
      <c r="E281" s="1" t="s">
        <v>29</v>
      </c>
      <c r="F281">
        <v>43</v>
      </c>
      <c r="G281" t="s">
        <v>59</v>
      </c>
      <c r="H281" s="2">
        <v>38093</v>
      </c>
      <c r="I281">
        <v>94246</v>
      </c>
      <c r="J281">
        <v>0</v>
      </c>
      <c r="K281">
        <v>94246</v>
      </c>
      <c r="L281" s="1" t="s">
        <v>23</v>
      </c>
      <c r="M281" s="1" t="s">
        <v>55</v>
      </c>
      <c r="N281" s="2"/>
      <c r="O281">
        <v>280</v>
      </c>
      <c r="P281">
        <v>0</v>
      </c>
      <c r="Q281" t="s">
        <v>25</v>
      </c>
      <c r="R281">
        <f ca="1">DATEDIF(EMP_RAW_Data[[#This Row],[Hire Date]],IF(EMP_RAW_Data[[#This Row],[Exit Date]]="",TODAY(),EMP_RAW_Data[[#This Row],[Exit Date]]),"Y")</f>
        <v>21</v>
      </c>
      <c r="S281" t="str">
        <f>IF(EMP_RAW_Data[[#This Row],[Status]]=1,"Inactive","Active")</f>
        <v>Active</v>
      </c>
    </row>
    <row r="282" spans="1:19" hidden="1" x14ac:dyDescent="0.3">
      <c r="A282" s="1" t="s">
        <v>365</v>
      </c>
      <c r="B282" s="1" t="s">
        <v>208</v>
      </c>
      <c r="C282" s="1" t="s">
        <v>19</v>
      </c>
      <c r="D282" s="1" t="s">
        <v>28</v>
      </c>
      <c r="E282" s="1" t="s">
        <v>21</v>
      </c>
      <c r="F282">
        <v>34</v>
      </c>
      <c r="G282" t="s">
        <v>40</v>
      </c>
      <c r="H282" s="2">
        <v>42512</v>
      </c>
      <c r="I282">
        <v>44614</v>
      </c>
      <c r="J282">
        <v>0</v>
      </c>
      <c r="K282">
        <v>44614</v>
      </c>
      <c r="L282" s="1" t="s">
        <v>23</v>
      </c>
      <c r="M282" s="1" t="s">
        <v>52</v>
      </c>
      <c r="N282" s="2"/>
      <c r="O282">
        <v>281</v>
      </c>
      <c r="P282">
        <v>0</v>
      </c>
      <c r="Q282" t="s">
        <v>25</v>
      </c>
      <c r="R282">
        <f ca="1">DATEDIF(EMP_RAW_Data[[#This Row],[Hire Date]],IF(EMP_RAW_Data[[#This Row],[Exit Date]]="",TODAY(),EMP_RAW_Data[[#This Row],[Exit Date]]),"Y")</f>
        <v>9</v>
      </c>
      <c r="S282" t="str">
        <f>IF(EMP_RAW_Data[[#This Row],[Status]]=1,"Inactive","Active")</f>
        <v>Active</v>
      </c>
    </row>
    <row r="283" spans="1:19" hidden="1" x14ac:dyDescent="0.3">
      <c r="A283" s="1" t="s">
        <v>366</v>
      </c>
      <c r="B283" s="1" t="s">
        <v>68</v>
      </c>
      <c r="C283" s="1" t="s">
        <v>19</v>
      </c>
      <c r="D283" s="1" t="s">
        <v>20</v>
      </c>
      <c r="E283" s="1" t="s">
        <v>29</v>
      </c>
      <c r="F283">
        <v>40</v>
      </c>
      <c r="G283" t="s">
        <v>59</v>
      </c>
      <c r="H283" s="2">
        <v>44143</v>
      </c>
      <c r="I283">
        <v>234469</v>
      </c>
      <c r="J283">
        <v>0.31</v>
      </c>
      <c r="K283">
        <v>307154.39</v>
      </c>
      <c r="L283" s="1" t="s">
        <v>30</v>
      </c>
      <c r="M283" s="1" t="s">
        <v>102</v>
      </c>
      <c r="N283" s="2"/>
      <c r="O283">
        <v>282</v>
      </c>
      <c r="P283">
        <v>0</v>
      </c>
      <c r="Q283" t="s">
        <v>25</v>
      </c>
      <c r="R283">
        <f ca="1">DATEDIF(EMP_RAW_Data[[#This Row],[Hire Date]],IF(EMP_RAW_Data[[#This Row],[Exit Date]]="",TODAY(),EMP_RAW_Data[[#This Row],[Exit Date]]),"Y")</f>
        <v>5</v>
      </c>
      <c r="S283" t="str">
        <f>IF(EMP_RAW_Data[[#This Row],[Status]]=1,"Inactive","Active")</f>
        <v>Active</v>
      </c>
    </row>
    <row r="284" spans="1:19" hidden="1" x14ac:dyDescent="0.3">
      <c r="A284" s="1" t="s">
        <v>367</v>
      </c>
      <c r="B284" s="1" t="s">
        <v>126</v>
      </c>
      <c r="C284" s="1" t="s">
        <v>62</v>
      </c>
      <c r="D284" s="1" t="s">
        <v>20</v>
      </c>
      <c r="E284" s="1" t="s">
        <v>29</v>
      </c>
      <c r="F284">
        <v>52</v>
      </c>
      <c r="G284" t="s">
        <v>36</v>
      </c>
      <c r="H284" s="2">
        <v>44022</v>
      </c>
      <c r="I284">
        <v>88272</v>
      </c>
      <c r="J284">
        <v>0</v>
      </c>
      <c r="K284">
        <v>88272</v>
      </c>
      <c r="L284" s="1" t="s">
        <v>77</v>
      </c>
      <c r="M284" s="1" t="s">
        <v>148</v>
      </c>
      <c r="N284" s="2"/>
      <c r="O284">
        <v>283</v>
      </c>
      <c r="P284">
        <v>0</v>
      </c>
      <c r="Q284" t="s">
        <v>25</v>
      </c>
      <c r="R284">
        <f ca="1">DATEDIF(EMP_RAW_Data[[#This Row],[Hire Date]],IF(EMP_RAW_Data[[#This Row],[Exit Date]]="",TODAY(),EMP_RAW_Data[[#This Row],[Exit Date]]),"Y")</f>
        <v>5</v>
      </c>
      <c r="S284" t="str">
        <f>IF(EMP_RAW_Data[[#This Row],[Status]]=1,"Inactive","Active")</f>
        <v>Active</v>
      </c>
    </row>
    <row r="285" spans="1:19" hidden="1" x14ac:dyDescent="0.3">
      <c r="A285" s="1" t="s">
        <v>368</v>
      </c>
      <c r="B285" s="1" t="s">
        <v>96</v>
      </c>
      <c r="C285" s="1" t="s">
        <v>34</v>
      </c>
      <c r="D285" s="1" t="s">
        <v>47</v>
      </c>
      <c r="E285" s="1" t="s">
        <v>29</v>
      </c>
      <c r="F285">
        <v>52</v>
      </c>
      <c r="G285" t="s">
        <v>36</v>
      </c>
      <c r="H285" s="2">
        <v>42992</v>
      </c>
      <c r="I285">
        <v>74449</v>
      </c>
      <c r="J285">
        <v>0</v>
      </c>
      <c r="K285">
        <v>74449</v>
      </c>
      <c r="L285" s="1" t="s">
        <v>30</v>
      </c>
      <c r="M285" s="1" t="s">
        <v>90</v>
      </c>
      <c r="N285" s="2"/>
      <c r="O285">
        <v>284</v>
      </c>
      <c r="P285">
        <v>0</v>
      </c>
      <c r="Q285" t="s">
        <v>25</v>
      </c>
      <c r="R285">
        <f ca="1">DATEDIF(EMP_RAW_Data[[#This Row],[Hire Date]],IF(EMP_RAW_Data[[#This Row],[Exit Date]]="",TODAY(),EMP_RAW_Data[[#This Row],[Exit Date]]),"Y")</f>
        <v>8</v>
      </c>
      <c r="S285" t="str">
        <f>IF(EMP_RAW_Data[[#This Row],[Status]]=1,"Inactive","Active")</f>
        <v>Active</v>
      </c>
    </row>
    <row r="286" spans="1:19" hidden="1" x14ac:dyDescent="0.3">
      <c r="A286" s="1" t="s">
        <v>369</v>
      </c>
      <c r="B286" s="1" t="s">
        <v>68</v>
      </c>
      <c r="C286" s="1" t="s">
        <v>62</v>
      </c>
      <c r="D286" s="1" t="s">
        <v>35</v>
      </c>
      <c r="E286" s="1" t="s">
        <v>29</v>
      </c>
      <c r="F286">
        <v>47</v>
      </c>
      <c r="G286" t="s">
        <v>36</v>
      </c>
      <c r="H286" s="2">
        <v>41071</v>
      </c>
      <c r="I286">
        <v>222941</v>
      </c>
      <c r="J286">
        <v>0.39</v>
      </c>
      <c r="K286">
        <v>309887.99</v>
      </c>
      <c r="L286" s="1" t="s">
        <v>30</v>
      </c>
      <c r="M286" s="1" t="s">
        <v>90</v>
      </c>
      <c r="N286" s="2"/>
      <c r="O286">
        <v>285</v>
      </c>
      <c r="P286">
        <v>0</v>
      </c>
      <c r="Q286" t="s">
        <v>25</v>
      </c>
      <c r="R286">
        <f ca="1">DATEDIF(EMP_RAW_Data[[#This Row],[Hire Date]],IF(EMP_RAW_Data[[#This Row],[Exit Date]]="",TODAY(),EMP_RAW_Data[[#This Row],[Exit Date]]),"Y")</f>
        <v>13</v>
      </c>
      <c r="S286" t="str">
        <f>IF(EMP_RAW_Data[[#This Row],[Status]]=1,"Inactive","Active")</f>
        <v>Active</v>
      </c>
    </row>
    <row r="287" spans="1:19" hidden="1" x14ac:dyDescent="0.3">
      <c r="A287" s="1" t="s">
        <v>370</v>
      </c>
      <c r="B287" s="1" t="s">
        <v>51</v>
      </c>
      <c r="C287" s="1" t="s">
        <v>69</v>
      </c>
      <c r="D287" s="1" t="s">
        <v>28</v>
      </c>
      <c r="E287" s="1" t="s">
        <v>21</v>
      </c>
      <c r="F287">
        <v>65</v>
      </c>
      <c r="G287" t="s">
        <v>71</v>
      </c>
      <c r="H287" s="2">
        <v>41543</v>
      </c>
      <c r="I287">
        <v>50341</v>
      </c>
      <c r="J287">
        <v>0</v>
      </c>
      <c r="K287">
        <v>50341</v>
      </c>
      <c r="L287" s="1" t="s">
        <v>30</v>
      </c>
      <c r="M287" s="1" t="s">
        <v>90</v>
      </c>
      <c r="N287" s="2"/>
      <c r="O287">
        <v>286</v>
      </c>
      <c r="P287">
        <v>0</v>
      </c>
      <c r="Q287" t="s">
        <v>25</v>
      </c>
      <c r="R287">
        <f ca="1">DATEDIF(EMP_RAW_Data[[#This Row],[Hire Date]],IF(EMP_RAW_Data[[#This Row],[Exit Date]]="",TODAY(),EMP_RAW_Data[[#This Row],[Exit Date]]),"Y")</f>
        <v>12</v>
      </c>
      <c r="S287" t="str">
        <f>IF(EMP_RAW_Data[[#This Row],[Status]]=1,"Inactive","Active")</f>
        <v>Active</v>
      </c>
    </row>
    <row r="288" spans="1:19" hidden="1" x14ac:dyDescent="0.3">
      <c r="A288" s="1" t="s">
        <v>371</v>
      </c>
      <c r="B288" s="1" t="s">
        <v>118</v>
      </c>
      <c r="C288" s="1" t="s">
        <v>58</v>
      </c>
      <c r="D288" s="1" t="s">
        <v>47</v>
      </c>
      <c r="E288" s="1" t="s">
        <v>21</v>
      </c>
      <c r="F288">
        <v>31</v>
      </c>
      <c r="G288" t="s">
        <v>40</v>
      </c>
      <c r="H288" s="2">
        <v>44297</v>
      </c>
      <c r="I288">
        <v>72235</v>
      </c>
      <c r="J288">
        <v>0</v>
      </c>
      <c r="K288">
        <v>72235</v>
      </c>
      <c r="L288" s="1" t="s">
        <v>77</v>
      </c>
      <c r="M288" s="1" t="s">
        <v>78</v>
      </c>
      <c r="N288" s="2"/>
      <c r="O288">
        <v>287</v>
      </c>
      <c r="P288">
        <v>0</v>
      </c>
      <c r="Q288" t="s">
        <v>25</v>
      </c>
      <c r="R288">
        <f ca="1">DATEDIF(EMP_RAW_Data[[#This Row],[Hire Date]],IF(EMP_RAW_Data[[#This Row],[Exit Date]]="",TODAY(),EMP_RAW_Data[[#This Row],[Exit Date]]),"Y")</f>
        <v>4</v>
      </c>
      <c r="S288" t="str">
        <f>IF(EMP_RAW_Data[[#This Row],[Status]]=1,"Inactive","Active")</f>
        <v>Active</v>
      </c>
    </row>
    <row r="289" spans="1:19" hidden="1" x14ac:dyDescent="0.3">
      <c r="A289" s="1" t="s">
        <v>372</v>
      </c>
      <c r="B289" s="1" t="s">
        <v>42</v>
      </c>
      <c r="C289" s="1" t="s">
        <v>54</v>
      </c>
      <c r="D289" s="1" t="s">
        <v>47</v>
      </c>
      <c r="E289" s="1" t="s">
        <v>21</v>
      </c>
      <c r="F289">
        <v>41</v>
      </c>
      <c r="G289" t="s">
        <v>59</v>
      </c>
      <c r="H289" s="2">
        <v>42533</v>
      </c>
      <c r="I289">
        <v>70165</v>
      </c>
      <c r="J289">
        <v>0</v>
      </c>
      <c r="K289">
        <v>70165</v>
      </c>
      <c r="L289" s="1" t="s">
        <v>23</v>
      </c>
      <c r="M289" s="1" t="s">
        <v>74</v>
      </c>
      <c r="N289" s="2"/>
      <c r="O289">
        <v>288</v>
      </c>
      <c r="P289">
        <v>0</v>
      </c>
      <c r="Q289" t="s">
        <v>25</v>
      </c>
      <c r="R289">
        <f ca="1">DATEDIF(EMP_RAW_Data[[#This Row],[Hire Date]],IF(EMP_RAW_Data[[#This Row],[Exit Date]]="",TODAY(),EMP_RAW_Data[[#This Row],[Exit Date]]),"Y")</f>
        <v>9</v>
      </c>
      <c r="S289" t="str">
        <f>IF(EMP_RAW_Data[[#This Row],[Status]]=1,"Inactive","Active")</f>
        <v>Active</v>
      </c>
    </row>
    <row r="290" spans="1:19" hidden="1" x14ac:dyDescent="0.3">
      <c r="A290" s="1" t="s">
        <v>373</v>
      </c>
      <c r="B290" s="1" t="s">
        <v>18</v>
      </c>
      <c r="C290" s="1" t="s">
        <v>69</v>
      </c>
      <c r="D290" s="1" t="s">
        <v>35</v>
      </c>
      <c r="E290" s="1" t="s">
        <v>29</v>
      </c>
      <c r="F290">
        <v>30</v>
      </c>
      <c r="G290" t="s">
        <v>40</v>
      </c>
      <c r="H290" s="2">
        <v>44030</v>
      </c>
      <c r="I290">
        <v>148485</v>
      </c>
      <c r="J290">
        <v>0.15</v>
      </c>
      <c r="K290">
        <v>170757.75</v>
      </c>
      <c r="L290" s="1" t="s">
        <v>23</v>
      </c>
      <c r="M290" s="1" t="s">
        <v>52</v>
      </c>
      <c r="N290" s="2"/>
      <c r="O290">
        <v>289</v>
      </c>
      <c r="P290">
        <v>0</v>
      </c>
      <c r="Q290" t="s">
        <v>25</v>
      </c>
      <c r="R290">
        <f ca="1">DATEDIF(EMP_RAW_Data[[#This Row],[Hire Date]],IF(EMP_RAW_Data[[#This Row],[Exit Date]]="",TODAY(),EMP_RAW_Data[[#This Row],[Exit Date]]),"Y")</f>
        <v>5</v>
      </c>
      <c r="S290" t="str">
        <f>IF(EMP_RAW_Data[[#This Row],[Status]]=1,"Inactive","Active")</f>
        <v>Active</v>
      </c>
    </row>
    <row r="291" spans="1:19" hidden="1" x14ac:dyDescent="0.3">
      <c r="A291" s="1" t="s">
        <v>374</v>
      </c>
      <c r="B291" s="1" t="s">
        <v>27</v>
      </c>
      <c r="C291" s="1" t="s">
        <v>19</v>
      </c>
      <c r="D291" s="1" t="s">
        <v>28</v>
      </c>
      <c r="E291" s="1" t="s">
        <v>21</v>
      </c>
      <c r="F291">
        <v>58</v>
      </c>
      <c r="G291" t="s">
        <v>22</v>
      </c>
      <c r="H291" s="2">
        <v>38521</v>
      </c>
      <c r="I291">
        <v>86089</v>
      </c>
      <c r="J291">
        <v>0</v>
      </c>
      <c r="K291">
        <v>86089</v>
      </c>
      <c r="L291" s="1" t="s">
        <v>23</v>
      </c>
      <c r="M291" s="1" t="s">
        <v>37</v>
      </c>
      <c r="N291" s="2"/>
      <c r="O291">
        <v>290</v>
      </c>
      <c r="P291">
        <v>0</v>
      </c>
      <c r="Q291" t="s">
        <v>25</v>
      </c>
      <c r="R291">
        <f ca="1">DATEDIF(EMP_RAW_Data[[#This Row],[Hire Date]],IF(EMP_RAW_Data[[#This Row],[Exit Date]]="",TODAY(),EMP_RAW_Data[[#This Row],[Exit Date]]),"Y")</f>
        <v>20</v>
      </c>
      <c r="S291" t="str">
        <f>IF(EMP_RAW_Data[[#This Row],[Status]]=1,"Inactive","Active")</f>
        <v>Active</v>
      </c>
    </row>
    <row r="292" spans="1:19" hidden="1" x14ac:dyDescent="0.3">
      <c r="A292" s="1" t="s">
        <v>375</v>
      </c>
      <c r="B292" s="1" t="s">
        <v>89</v>
      </c>
      <c r="C292" s="1" t="s">
        <v>62</v>
      </c>
      <c r="D292" s="1" t="s">
        <v>20</v>
      </c>
      <c r="E292" s="1" t="s">
        <v>29</v>
      </c>
      <c r="F292">
        <v>54</v>
      </c>
      <c r="G292" t="s">
        <v>36</v>
      </c>
      <c r="H292" s="2">
        <v>39382</v>
      </c>
      <c r="I292">
        <v>106313</v>
      </c>
      <c r="J292">
        <v>0.15</v>
      </c>
      <c r="K292">
        <v>122259.95</v>
      </c>
      <c r="L292" s="1" t="s">
        <v>23</v>
      </c>
      <c r="M292" s="1" t="s">
        <v>37</v>
      </c>
      <c r="N292" s="2"/>
      <c r="O292">
        <v>291</v>
      </c>
      <c r="P292">
        <v>0</v>
      </c>
      <c r="Q292" t="s">
        <v>25</v>
      </c>
      <c r="R292">
        <f ca="1">DATEDIF(EMP_RAW_Data[[#This Row],[Hire Date]],IF(EMP_RAW_Data[[#This Row],[Exit Date]]="",TODAY(),EMP_RAW_Data[[#This Row],[Exit Date]]),"Y")</f>
        <v>18</v>
      </c>
      <c r="S292" t="str">
        <f>IF(EMP_RAW_Data[[#This Row],[Status]]=1,"Inactive","Active")</f>
        <v>Active</v>
      </c>
    </row>
    <row r="293" spans="1:19" x14ac:dyDescent="0.3">
      <c r="A293" s="1" t="s">
        <v>376</v>
      </c>
      <c r="B293" s="1" t="s">
        <v>51</v>
      </c>
      <c r="C293" s="1" t="s">
        <v>69</v>
      </c>
      <c r="D293" s="1" t="s">
        <v>20</v>
      </c>
      <c r="E293" s="1" t="s">
        <v>21</v>
      </c>
      <c r="F293">
        <v>40</v>
      </c>
      <c r="G293" t="s">
        <v>59</v>
      </c>
      <c r="H293" s="2">
        <v>44251</v>
      </c>
      <c r="I293">
        <v>46833</v>
      </c>
      <c r="J293">
        <v>0</v>
      </c>
      <c r="K293">
        <v>46833</v>
      </c>
      <c r="L293" s="1" t="s">
        <v>30</v>
      </c>
      <c r="M293" s="1" t="s">
        <v>102</v>
      </c>
      <c r="N293" s="2">
        <v>44510</v>
      </c>
      <c r="O293">
        <v>292</v>
      </c>
      <c r="P293">
        <v>1</v>
      </c>
      <c r="Q293" t="s">
        <v>25</v>
      </c>
      <c r="R293">
        <f ca="1">DATEDIF(EMP_RAW_Data[[#This Row],[Hire Date]],IF(EMP_RAW_Data[[#This Row],[Exit Date]]="",TODAY(),EMP_RAW_Data[[#This Row],[Exit Date]]),"Y")</f>
        <v>0</v>
      </c>
      <c r="S293" t="str">
        <f>IF(EMP_RAW_Data[[#This Row],[Status]]=1,"Inactive","Active")</f>
        <v>Inactive</v>
      </c>
    </row>
    <row r="294" spans="1:19" hidden="1" x14ac:dyDescent="0.3">
      <c r="A294" s="1" t="s">
        <v>377</v>
      </c>
      <c r="B294" s="1" t="s">
        <v>33</v>
      </c>
      <c r="C294" s="1" t="s">
        <v>34</v>
      </c>
      <c r="D294" s="1" t="s">
        <v>20</v>
      </c>
      <c r="E294" s="1" t="s">
        <v>21</v>
      </c>
      <c r="F294">
        <v>63</v>
      </c>
      <c r="G294" t="s">
        <v>22</v>
      </c>
      <c r="H294" s="2">
        <v>36826</v>
      </c>
      <c r="I294">
        <v>155320</v>
      </c>
      <c r="J294">
        <v>0.17</v>
      </c>
      <c r="K294">
        <v>181724.4</v>
      </c>
      <c r="L294" s="1" t="s">
        <v>30</v>
      </c>
      <c r="M294" s="1" t="s">
        <v>31</v>
      </c>
      <c r="N294" s="2"/>
      <c r="O294">
        <v>293</v>
      </c>
      <c r="P294">
        <v>0</v>
      </c>
      <c r="Q294" t="s">
        <v>25</v>
      </c>
      <c r="R294">
        <f ca="1">DATEDIF(EMP_RAW_Data[[#This Row],[Hire Date]],IF(EMP_RAW_Data[[#This Row],[Exit Date]]="",TODAY(),EMP_RAW_Data[[#This Row],[Exit Date]]),"Y")</f>
        <v>25</v>
      </c>
      <c r="S294" t="str">
        <f>IF(EMP_RAW_Data[[#This Row],[Status]]=1,"Inactive","Active")</f>
        <v>Active</v>
      </c>
    </row>
    <row r="295" spans="1:19" hidden="1" x14ac:dyDescent="0.3">
      <c r="A295" s="1" t="s">
        <v>378</v>
      </c>
      <c r="B295" s="1" t="s">
        <v>42</v>
      </c>
      <c r="C295" s="1" t="s">
        <v>54</v>
      </c>
      <c r="D295" s="1" t="s">
        <v>28</v>
      </c>
      <c r="E295" s="1" t="s">
        <v>29</v>
      </c>
      <c r="F295">
        <v>40</v>
      </c>
      <c r="G295" t="s">
        <v>59</v>
      </c>
      <c r="H295" s="2">
        <v>42384</v>
      </c>
      <c r="I295">
        <v>89984</v>
      </c>
      <c r="J295">
        <v>0</v>
      </c>
      <c r="K295">
        <v>89984</v>
      </c>
      <c r="L295" s="1" t="s">
        <v>30</v>
      </c>
      <c r="M295" s="1" t="s">
        <v>102</v>
      </c>
      <c r="N295" s="2"/>
      <c r="O295">
        <v>294</v>
      </c>
      <c r="P295">
        <v>0</v>
      </c>
      <c r="Q295" t="s">
        <v>25</v>
      </c>
      <c r="R295">
        <f ca="1">DATEDIF(EMP_RAW_Data[[#This Row],[Hire Date]],IF(EMP_RAW_Data[[#This Row],[Exit Date]]="",TODAY(),EMP_RAW_Data[[#This Row],[Exit Date]]),"Y")</f>
        <v>10</v>
      </c>
      <c r="S295" t="str">
        <f>IF(EMP_RAW_Data[[#This Row],[Status]]=1,"Inactive","Active")</f>
        <v>Active</v>
      </c>
    </row>
    <row r="296" spans="1:19" hidden="1" x14ac:dyDescent="0.3">
      <c r="A296" s="1" t="s">
        <v>379</v>
      </c>
      <c r="B296" s="1" t="s">
        <v>89</v>
      </c>
      <c r="C296" s="1" t="s">
        <v>62</v>
      </c>
      <c r="D296" s="1" t="s">
        <v>35</v>
      </c>
      <c r="E296" s="1" t="s">
        <v>21</v>
      </c>
      <c r="F296">
        <v>65</v>
      </c>
      <c r="G296" t="s">
        <v>71</v>
      </c>
      <c r="H296" s="2">
        <v>38792</v>
      </c>
      <c r="I296">
        <v>83756</v>
      </c>
      <c r="J296">
        <v>0.14000000000000001</v>
      </c>
      <c r="K296">
        <v>95481.84</v>
      </c>
      <c r="L296" s="1" t="s">
        <v>30</v>
      </c>
      <c r="M296" s="1" t="s">
        <v>65</v>
      </c>
      <c r="N296" s="2"/>
      <c r="O296">
        <v>295</v>
      </c>
      <c r="P296">
        <v>0</v>
      </c>
      <c r="Q296" t="s">
        <v>25</v>
      </c>
      <c r="R296">
        <f ca="1">DATEDIF(EMP_RAW_Data[[#This Row],[Hire Date]],IF(EMP_RAW_Data[[#This Row],[Exit Date]]="",TODAY(),EMP_RAW_Data[[#This Row],[Exit Date]]),"Y")</f>
        <v>20</v>
      </c>
      <c r="S296" t="str">
        <f>IF(EMP_RAW_Data[[#This Row],[Status]]=1,"Inactive","Active")</f>
        <v>Active</v>
      </c>
    </row>
    <row r="297" spans="1:19" hidden="1" x14ac:dyDescent="0.3">
      <c r="A297" s="1" t="s">
        <v>380</v>
      </c>
      <c r="B297" s="1" t="s">
        <v>33</v>
      </c>
      <c r="C297" s="1" t="s">
        <v>58</v>
      </c>
      <c r="D297" s="1" t="s">
        <v>47</v>
      </c>
      <c r="E297" s="1" t="s">
        <v>21</v>
      </c>
      <c r="F297">
        <v>57</v>
      </c>
      <c r="G297" t="s">
        <v>22</v>
      </c>
      <c r="H297" s="2">
        <v>42667</v>
      </c>
      <c r="I297">
        <v>176324</v>
      </c>
      <c r="J297">
        <v>0.23</v>
      </c>
      <c r="K297">
        <v>216878.52000000002</v>
      </c>
      <c r="L297" s="1" t="s">
        <v>30</v>
      </c>
      <c r="M297" s="1" t="s">
        <v>65</v>
      </c>
      <c r="N297" s="2"/>
      <c r="O297">
        <v>296</v>
      </c>
      <c r="P297">
        <v>0</v>
      </c>
      <c r="Q297" t="s">
        <v>25</v>
      </c>
      <c r="R297">
        <f ca="1">DATEDIF(EMP_RAW_Data[[#This Row],[Hire Date]],IF(EMP_RAW_Data[[#This Row],[Exit Date]]="",TODAY(),EMP_RAW_Data[[#This Row],[Exit Date]]),"Y")</f>
        <v>9</v>
      </c>
      <c r="S297" t="str">
        <f>IF(EMP_RAW_Data[[#This Row],[Status]]=1,"Inactive","Active")</f>
        <v>Active</v>
      </c>
    </row>
    <row r="298" spans="1:19" hidden="1" x14ac:dyDescent="0.3">
      <c r="A298" s="1" t="s">
        <v>381</v>
      </c>
      <c r="B298" s="1" t="s">
        <v>42</v>
      </c>
      <c r="C298" s="1" t="s">
        <v>54</v>
      </c>
      <c r="D298" s="1" t="s">
        <v>35</v>
      </c>
      <c r="E298" s="1" t="s">
        <v>29</v>
      </c>
      <c r="F298">
        <v>27</v>
      </c>
      <c r="G298" t="s">
        <v>40</v>
      </c>
      <c r="H298" s="2">
        <v>44482</v>
      </c>
      <c r="I298">
        <v>74077</v>
      </c>
      <c r="J298">
        <v>0</v>
      </c>
      <c r="K298">
        <v>74077</v>
      </c>
      <c r="L298" s="1" t="s">
        <v>23</v>
      </c>
      <c r="M298" s="1" t="s">
        <v>24</v>
      </c>
      <c r="N298" s="2"/>
      <c r="O298">
        <v>297</v>
      </c>
      <c r="P298">
        <v>0</v>
      </c>
      <c r="Q298" t="s">
        <v>25</v>
      </c>
      <c r="R298">
        <f ca="1">DATEDIF(EMP_RAW_Data[[#This Row],[Hire Date]],IF(EMP_RAW_Data[[#This Row],[Exit Date]]="",TODAY(),EMP_RAW_Data[[#This Row],[Exit Date]]),"Y")</f>
        <v>4</v>
      </c>
      <c r="S298" t="str">
        <f>IF(EMP_RAW_Data[[#This Row],[Status]]=1,"Inactive","Active")</f>
        <v>Active</v>
      </c>
    </row>
    <row r="299" spans="1:19" hidden="1" x14ac:dyDescent="0.3">
      <c r="A299" s="1" t="s">
        <v>382</v>
      </c>
      <c r="B299" s="1" t="s">
        <v>49</v>
      </c>
      <c r="C299" s="1" t="s">
        <v>58</v>
      </c>
      <c r="D299" s="1" t="s">
        <v>28</v>
      </c>
      <c r="E299" s="1" t="s">
        <v>21</v>
      </c>
      <c r="F299">
        <v>31</v>
      </c>
      <c r="G299" t="s">
        <v>40</v>
      </c>
      <c r="H299" s="2">
        <v>44214</v>
      </c>
      <c r="I299">
        <v>104162</v>
      </c>
      <c r="J299">
        <v>7.0000000000000007E-2</v>
      </c>
      <c r="K299">
        <v>111453.34</v>
      </c>
      <c r="L299" s="1" t="s">
        <v>23</v>
      </c>
      <c r="M299" s="1" t="s">
        <v>55</v>
      </c>
      <c r="N299" s="2"/>
      <c r="O299">
        <v>298</v>
      </c>
      <c r="P299">
        <v>0</v>
      </c>
      <c r="Q299" t="s">
        <v>25</v>
      </c>
      <c r="R299">
        <f ca="1">DATEDIF(EMP_RAW_Data[[#This Row],[Hire Date]],IF(EMP_RAW_Data[[#This Row],[Exit Date]]="",TODAY(),EMP_RAW_Data[[#This Row],[Exit Date]]),"Y")</f>
        <v>5</v>
      </c>
      <c r="S299" t="str">
        <f>IF(EMP_RAW_Data[[#This Row],[Status]]=1,"Inactive","Active")</f>
        <v>Active</v>
      </c>
    </row>
    <row r="300" spans="1:19" x14ac:dyDescent="0.3">
      <c r="A300" s="1" t="s">
        <v>383</v>
      </c>
      <c r="B300" s="1" t="s">
        <v>267</v>
      </c>
      <c r="C300" s="1" t="s">
        <v>19</v>
      </c>
      <c r="D300" s="1" t="s">
        <v>47</v>
      </c>
      <c r="E300" s="1" t="s">
        <v>21</v>
      </c>
      <c r="F300">
        <v>45</v>
      </c>
      <c r="G300" t="s">
        <v>36</v>
      </c>
      <c r="H300" s="2">
        <v>40418</v>
      </c>
      <c r="I300">
        <v>82162</v>
      </c>
      <c r="J300">
        <v>0</v>
      </c>
      <c r="K300">
        <v>82162</v>
      </c>
      <c r="L300" s="1" t="s">
        <v>30</v>
      </c>
      <c r="M300" s="1" t="s">
        <v>90</v>
      </c>
      <c r="N300" s="2">
        <v>44107</v>
      </c>
      <c r="O300">
        <v>299</v>
      </c>
      <c r="P300">
        <v>1</v>
      </c>
      <c r="Q300" t="s">
        <v>25</v>
      </c>
      <c r="R300">
        <f ca="1">DATEDIF(EMP_RAW_Data[[#This Row],[Hire Date]],IF(EMP_RAW_Data[[#This Row],[Exit Date]]="",TODAY(),EMP_RAW_Data[[#This Row],[Exit Date]]),"Y")</f>
        <v>10</v>
      </c>
      <c r="S300" t="str">
        <f>IF(EMP_RAW_Data[[#This Row],[Status]]=1,"Inactive","Active")</f>
        <v>Inactive</v>
      </c>
    </row>
    <row r="301" spans="1:19" hidden="1" x14ac:dyDescent="0.3">
      <c r="A301" s="1" t="s">
        <v>384</v>
      </c>
      <c r="B301" s="1" t="s">
        <v>45</v>
      </c>
      <c r="C301" s="1" t="s">
        <v>46</v>
      </c>
      <c r="D301" s="1" t="s">
        <v>35</v>
      </c>
      <c r="E301" s="1" t="s">
        <v>21</v>
      </c>
      <c r="F301">
        <v>47</v>
      </c>
      <c r="G301" t="s">
        <v>36</v>
      </c>
      <c r="H301" s="2">
        <v>42195</v>
      </c>
      <c r="I301">
        <v>63880</v>
      </c>
      <c r="J301">
        <v>0</v>
      </c>
      <c r="K301">
        <v>63880</v>
      </c>
      <c r="L301" s="1" t="s">
        <v>30</v>
      </c>
      <c r="M301" s="1" t="s">
        <v>31</v>
      </c>
      <c r="N301" s="2"/>
      <c r="O301">
        <v>300</v>
      </c>
      <c r="P301">
        <v>0</v>
      </c>
      <c r="Q301" t="s">
        <v>25</v>
      </c>
      <c r="R301">
        <f ca="1">DATEDIF(EMP_RAW_Data[[#This Row],[Hire Date]],IF(EMP_RAW_Data[[#This Row],[Exit Date]]="",TODAY(),EMP_RAW_Data[[#This Row],[Exit Date]]),"Y")</f>
        <v>10</v>
      </c>
      <c r="S301" t="str">
        <f>IF(EMP_RAW_Data[[#This Row],[Status]]=1,"Inactive","Active")</f>
        <v>Active</v>
      </c>
    </row>
    <row r="302" spans="1:19" hidden="1" x14ac:dyDescent="0.3">
      <c r="A302" s="1" t="s">
        <v>385</v>
      </c>
      <c r="B302" s="1" t="s">
        <v>151</v>
      </c>
      <c r="C302" s="1" t="s">
        <v>62</v>
      </c>
      <c r="D302" s="1" t="s">
        <v>20</v>
      </c>
      <c r="E302" s="1" t="s">
        <v>21</v>
      </c>
      <c r="F302">
        <v>55</v>
      </c>
      <c r="G302" t="s">
        <v>22</v>
      </c>
      <c r="H302" s="2">
        <v>41525</v>
      </c>
      <c r="I302">
        <v>73248</v>
      </c>
      <c r="J302">
        <v>0</v>
      </c>
      <c r="K302">
        <v>73248</v>
      </c>
      <c r="L302" s="1" t="s">
        <v>23</v>
      </c>
      <c r="M302" s="1" t="s">
        <v>74</v>
      </c>
      <c r="N302" s="2"/>
      <c r="O302">
        <v>301</v>
      </c>
      <c r="P302">
        <v>0</v>
      </c>
      <c r="Q302" t="s">
        <v>25</v>
      </c>
      <c r="R302">
        <f ca="1">DATEDIF(EMP_RAW_Data[[#This Row],[Hire Date]],IF(EMP_RAW_Data[[#This Row],[Exit Date]]="",TODAY(),EMP_RAW_Data[[#This Row],[Exit Date]]),"Y")</f>
        <v>12</v>
      </c>
      <c r="S302" t="str">
        <f>IF(EMP_RAW_Data[[#This Row],[Status]]=1,"Inactive","Active")</f>
        <v>Active</v>
      </c>
    </row>
    <row r="303" spans="1:19" hidden="1" x14ac:dyDescent="0.3">
      <c r="A303" s="1" t="s">
        <v>386</v>
      </c>
      <c r="B303" s="1" t="s">
        <v>42</v>
      </c>
      <c r="C303" s="1" t="s">
        <v>54</v>
      </c>
      <c r="D303" s="1" t="s">
        <v>28</v>
      </c>
      <c r="E303" s="1" t="s">
        <v>29</v>
      </c>
      <c r="F303">
        <v>51</v>
      </c>
      <c r="G303" t="s">
        <v>36</v>
      </c>
      <c r="H303" s="2">
        <v>44113</v>
      </c>
      <c r="I303">
        <v>91853</v>
      </c>
      <c r="J303">
        <v>0</v>
      </c>
      <c r="K303">
        <v>91853</v>
      </c>
      <c r="L303" s="1" t="s">
        <v>23</v>
      </c>
      <c r="M303" s="1" t="s">
        <v>37</v>
      </c>
      <c r="N303" s="2"/>
      <c r="O303">
        <v>302</v>
      </c>
      <c r="P303">
        <v>0</v>
      </c>
      <c r="Q303" t="s">
        <v>25</v>
      </c>
      <c r="R303">
        <f ca="1">DATEDIF(EMP_RAW_Data[[#This Row],[Hire Date]],IF(EMP_RAW_Data[[#This Row],[Exit Date]]="",TODAY(),EMP_RAW_Data[[#This Row],[Exit Date]]),"Y")</f>
        <v>5</v>
      </c>
      <c r="S303" t="str">
        <f>IF(EMP_RAW_Data[[#This Row],[Status]]=1,"Inactive","Active")</f>
        <v>Active</v>
      </c>
    </row>
    <row r="304" spans="1:19" x14ac:dyDescent="0.3">
      <c r="A304" s="1" t="s">
        <v>387</v>
      </c>
      <c r="B304" s="1" t="s">
        <v>33</v>
      </c>
      <c r="C304" s="1" t="s">
        <v>34</v>
      </c>
      <c r="D304" s="1" t="s">
        <v>35</v>
      </c>
      <c r="E304" s="1" t="s">
        <v>29</v>
      </c>
      <c r="F304">
        <v>25</v>
      </c>
      <c r="G304" t="s">
        <v>40</v>
      </c>
      <c r="H304" s="2">
        <v>43844</v>
      </c>
      <c r="I304">
        <v>168014</v>
      </c>
      <c r="J304">
        <v>0.27</v>
      </c>
      <c r="K304">
        <v>213377.78</v>
      </c>
      <c r="L304" s="1" t="s">
        <v>23</v>
      </c>
      <c r="M304" s="1" t="s">
        <v>37</v>
      </c>
      <c r="N304" s="2">
        <v>44404</v>
      </c>
      <c r="O304">
        <v>303</v>
      </c>
      <c r="P304">
        <v>1</v>
      </c>
      <c r="Q304" t="s">
        <v>25</v>
      </c>
      <c r="R304">
        <f ca="1">DATEDIF(EMP_RAW_Data[[#This Row],[Hire Date]],IF(EMP_RAW_Data[[#This Row],[Exit Date]]="",TODAY(),EMP_RAW_Data[[#This Row],[Exit Date]]),"Y")</f>
        <v>1</v>
      </c>
      <c r="S304" t="str">
        <f>IF(EMP_RAW_Data[[#This Row],[Status]]=1,"Inactive","Active")</f>
        <v>Inactive</v>
      </c>
    </row>
    <row r="305" spans="1:19" hidden="1" x14ac:dyDescent="0.3">
      <c r="A305" s="1" t="s">
        <v>388</v>
      </c>
      <c r="B305" s="1" t="s">
        <v>180</v>
      </c>
      <c r="C305" s="1" t="s">
        <v>62</v>
      </c>
      <c r="D305" s="1" t="s">
        <v>47</v>
      </c>
      <c r="E305" s="1" t="s">
        <v>21</v>
      </c>
      <c r="F305">
        <v>37</v>
      </c>
      <c r="G305" t="s">
        <v>59</v>
      </c>
      <c r="H305" s="2">
        <v>42995</v>
      </c>
      <c r="I305">
        <v>70770</v>
      </c>
      <c r="J305">
        <v>0</v>
      </c>
      <c r="K305">
        <v>70770</v>
      </c>
      <c r="L305" s="1" t="s">
        <v>23</v>
      </c>
      <c r="M305" s="1" t="s">
        <v>52</v>
      </c>
      <c r="N305" s="2"/>
      <c r="O305">
        <v>304</v>
      </c>
      <c r="P305">
        <v>0</v>
      </c>
      <c r="Q305" t="s">
        <v>25</v>
      </c>
      <c r="R305">
        <f ca="1">DATEDIF(EMP_RAW_Data[[#This Row],[Hire Date]],IF(EMP_RAW_Data[[#This Row],[Exit Date]]="",TODAY(),EMP_RAW_Data[[#This Row],[Exit Date]]),"Y")</f>
        <v>8</v>
      </c>
      <c r="S305" t="str">
        <f>IF(EMP_RAW_Data[[#This Row],[Status]]=1,"Inactive","Active")</f>
        <v>Active</v>
      </c>
    </row>
    <row r="306" spans="1:19" hidden="1" x14ac:dyDescent="0.3">
      <c r="A306" s="1" t="s">
        <v>389</v>
      </c>
      <c r="B306" s="1" t="s">
        <v>118</v>
      </c>
      <c r="C306" s="1" t="s">
        <v>58</v>
      </c>
      <c r="D306" s="1" t="s">
        <v>47</v>
      </c>
      <c r="E306" s="1" t="s">
        <v>29</v>
      </c>
      <c r="F306">
        <v>62</v>
      </c>
      <c r="G306" t="s">
        <v>22</v>
      </c>
      <c r="H306" s="2">
        <v>38271</v>
      </c>
      <c r="I306">
        <v>50825</v>
      </c>
      <c r="J306">
        <v>0</v>
      </c>
      <c r="K306">
        <v>50825</v>
      </c>
      <c r="L306" s="1" t="s">
        <v>23</v>
      </c>
      <c r="M306" s="1" t="s">
        <v>24</v>
      </c>
      <c r="N306" s="2"/>
      <c r="O306">
        <v>305</v>
      </c>
      <c r="P306">
        <v>0</v>
      </c>
      <c r="Q306" t="s">
        <v>25</v>
      </c>
      <c r="R306">
        <f ca="1">DATEDIF(EMP_RAW_Data[[#This Row],[Hire Date]],IF(EMP_RAW_Data[[#This Row],[Exit Date]]="",TODAY(),EMP_RAW_Data[[#This Row],[Exit Date]]),"Y")</f>
        <v>21</v>
      </c>
      <c r="S306" t="str">
        <f>IF(EMP_RAW_Data[[#This Row],[Status]]=1,"Inactive","Active")</f>
        <v>Active</v>
      </c>
    </row>
    <row r="307" spans="1:19" hidden="1" x14ac:dyDescent="0.3">
      <c r="A307" s="1" t="s">
        <v>390</v>
      </c>
      <c r="B307" s="1" t="s">
        <v>18</v>
      </c>
      <c r="C307" s="1" t="s">
        <v>34</v>
      </c>
      <c r="D307" s="1" t="s">
        <v>20</v>
      </c>
      <c r="E307" s="1" t="s">
        <v>29</v>
      </c>
      <c r="F307">
        <v>31</v>
      </c>
      <c r="G307" t="s">
        <v>40</v>
      </c>
      <c r="H307" s="2">
        <v>42266</v>
      </c>
      <c r="I307">
        <v>145846</v>
      </c>
      <c r="J307">
        <v>0.15</v>
      </c>
      <c r="K307">
        <v>167722.9</v>
      </c>
      <c r="L307" s="1" t="s">
        <v>77</v>
      </c>
      <c r="M307" s="1" t="s">
        <v>78</v>
      </c>
      <c r="N307" s="2"/>
      <c r="O307">
        <v>306</v>
      </c>
      <c r="P307">
        <v>0</v>
      </c>
      <c r="Q307" t="s">
        <v>25</v>
      </c>
      <c r="R307">
        <f ca="1">DATEDIF(EMP_RAW_Data[[#This Row],[Hire Date]],IF(EMP_RAW_Data[[#This Row],[Exit Date]]="",TODAY(),EMP_RAW_Data[[#This Row],[Exit Date]]),"Y")</f>
        <v>10</v>
      </c>
      <c r="S307" t="str">
        <f>IF(EMP_RAW_Data[[#This Row],[Status]]=1,"Inactive","Active")</f>
        <v>Active</v>
      </c>
    </row>
    <row r="308" spans="1:19" hidden="1" x14ac:dyDescent="0.3">
      <c r="A308" s="1" t="s">
        <v>391</v>
      </c>
      <c r="B308" s="1" t="s">
        <v>18</v>
      </c>
      <c r="C308" s="1" t="s">
        <v>58</v>
      </c>
      <c r="D308" s="1" t="s">
        <v>20</v>
      </c>
      <c r="E308" s="1" t="s">
        <v>21</v>
      </c>
      <c r="F308">
        <v>64</v>
      </c>
      <c r="G308" t="s">
        <v>22</v>
      </c>
      <c r="H308" s="2">
        <v>37962</v>
      </c>
      <c r="I308">
        <v>125807</v>
      </c>
      <c r="J308">
        <v>0.15</v>
      </c>
      <c r="K308">
        <v>144678.04999999999</v>
      </c>
      <c r="L308" s="1" t="s">
        <v>23</v>
      </c>
      <c r="M308" s="1" t="s">
        <v>37</v>
      </c>
      <c r="N308" s="2"/>
      <c r="O308">
        <v>307</v>
      </c>
      <c r="P308">
        <v>0</v>
      </c>
      <c r="Q308" t="s">
        <v>25</v>
      </c>
      <c r="R308">
        <f ca="1">DATEDIF(EMP_RAW_Data[[#This Row],[Hire Date]],IF(EMP_RAW_Data[[#This Row],[Exit Date]]="",TODAY(),EMP_RAW_Data[[#This Row],[Exit Date]]),"Y")</f>
        <v>22</v>
      </c>
      <c r="S308" t="str">
        <f>IF(EMP_RAW_Data[[#This Row],[Status]]=1,"Inactive","Active")</f>
        <v>Active</v>
      </c>
    </row>
    <row r="309" spans="1:19" hidden="1" x14ac:dyDescent="0.3">
      <c r="A309" s="1" t="s">
        <v>392</v>
      </c>
      <c r="B309" s="1" t="s">
        <v>51</v>
      </c>
      <c r="C309" s="1" t="s">
        <v>46</v>
      </c>
      <c r="D309" s="1" t="s">
        <v>35</v>
      </c>
      <c r="E309" s="1" t="s">
        <v>29</v>
      </c>
      <c r="F309">
        <v>25</v>
      </c>
      <c r="G309" t="s">
        <v>40</v>
      </c>
      <c r="H309" s="2">
        <v>44405</v>
      </c>
      <c r="I309">
        <v>46845</v>
      </c>
      <c r="J309">
        <v>0</v>
      </c>
      <c r="K309">
        <v>46845</v>
      </c>
      <c r="L309" s="1" t="s">
        <v>23</v>
      </c>
      <c r="M309" s="1" t="s">
        <v>52</v>
      </c>
      <c r="N309" s="2"/>
      <c r="O309">
        <v>308</v>
      </c>
      <c r="P309">
        <v>0</v>
      </c>
      <c r="Q309" t="s">
        <v>25</v>
      </c>
      <c r="R309">
        <f ca="1">DATEDIF(EMP_RAW_Data[[#This Row],[Hire Date]],IF(EMP_RAW_Data[[#This Row],[Exit Date]]="",TODAY(),EMP_RAW_Data[[#This Row],[Exit Date]]),"Y")</f>
        <v>4</v>
      </c>
      <c r="S309" t="str">
        <f>IF(EMP_RAW_Data[[#This Row],[Status]]=1,"Inactive","Active")</f>
        <v>Active</v>
      </c>
    </row>
    <row r="310" spans="1:19" hidden="1" x14ac:dyDescent="0.3">
      <c r="A310" s="1" t="s">
        <v>393</v>
      </c>
      <c r="B310" s="1" t="s">
        <v>18</v>
      </c>
      <c r="C310" s="1" t="s">
        <v>69</v>
      </c>
      <c r="D310" s="1" t="s">
        <v>47</v>
      </c>
      <c r="E310" s="1" t="s">
        <v>21</v>
      </c>
      <c r="F310">
        <v>59</v>
      </c>
      <c r="G310" t="s">
        <v>22</v>
      </c>
      <c r="H310" s="2">
        <v>39689</v>
      </c>
      <c r="I310">
        <v>157969</v>
      </c>
      <c r="J310">
        <v>0.1</v>
      </c>
      <c r="K310">
        <v>173765.9</v>
      </c>
      <c r="L310" s="1" t="s">
        <v>30</v>
      </c>
      <c r="M310" s="1" t="s">
        <v>31</v>
      </c>
      <c r="N310" s="2"/>
      <c r="O310">
        <v>309</v>
      </c>
      <c r="P310">
        <v>0</v>
      </c>
      <c r="Q310" t="s">
        <v>25</v>
      </c>
      <c r="R310">
        <f ca="1">DATEDIF(EMP_RAW_Data[[#This Row],[Hire Date]],IF(EMP_RAW_Data[[#This Row],[Exit Date]]="",TODAY(),EMP_RAW_Data[[#This Row],[Exit Date]]),"Y")</f>
        <v>17</v>
      </c>
      <c r="S310" t="str">
        <f>IF(EMP_RAW_Data[[#This Row],[Status]]=1,"Inactive","Active")</f>
        <v>Active</v>
      </c>
    </row>
    <row r="311" spans="1:19" hidden="1" x14ac:dyDescent="0.3">
      <c r="A311" s="1" t="s">
        <v>394</v>
      </c>
      <c r="B311" s="1" t="s">
        <v>230</v>
      </c>
      <c r="C311" s="1" t="s">
        <v>19</v>
      </c>
      <c r="D311" s="1" t="s">
        <v>47</v>
      </c>
      <c r="E311" s="1" t="s">
        <v>21</v>
      </c>
      <c r="F311">
        <v>40</v>
      </c>
      <c r="G311" t="s">
        <v>59</v>
      </c>
      <c r="H311" s="2">
        <v>40522</v>
      </c>
      <c r="I311">
        <v>97807</v>
      </c>
      <c r="J311">
        <v>0</v>
      </c>
      <c r="K311">
        <v>97807</v>
      </c>
      <c r="L311" s="1" t="s">
        <v>23</v>
      </c>
      <c r="M311" s="1" t="s">
        <v>37</v>
      </c>
      <c r="N311" s="2"/>
      <c r="O311">
        <v>310</v>
      </c>
      <c r="P311">
        <v>0</v>
      </c>
      <c r="Q311" t="s">
        <v>25</v>
      </c>
      <c r="R311">
        <f ca="1">DATEDIF(EMP_RAW_Data[[#This Row],[Hire Date]],IF(EMP_RAW_Data[[#This Row],[Exit Date]]="",TODAY(),EMP_RAW_Data[[#This Row],[Exit Date]]),"Y")</f>
        <v>15</v>
      </c>
      <c r="S311" t="str">
        <f>IF(EMP_RAW_Data[[#This Row],[Status]]=1,"Inactive","Active")</f>
        <v>Active</v>
      </c>
    </row>
    <row r="312" spans="1:19" hidden="1" x14ac:dyDescent="0.3">
      <c r="A312" s="1" t="s">
        <v>395</v>
      </c>
      <c r="B312" s="1" t="s">
        <v>118</v>
      </c>
      <c r="C312" s="1" t="s">
        <v>58</v>
      </c>
      <c r="D312" s="1" t="s">
        <v>28</v>
      </c>
      <c r="E312" s="1" t="s">
        <v>29</v>
      </c>
      <c r="F312">
        <v>31</v>
      </c>
      <c r="G312" t="s">
        <v>40</v>
      </c>
      <c r="H312" s="2">
        <v>42347</v>
      </c>
      <c r="I312">
        <v>73854</v>
      </c>
      <c r="J312">
        <v>0</v>
      </c>
      <c r="K312">
        <v>73854</v>
      </c>
      <c r="L312" s="1" t="s">
        <v>23</v>
      </c>
      <c r="M312" s="1" t="s">
        <v>24</v>
      </c>
      <c r="N312" s="2"/>
      <c r="O312">
        <v>311</v>
      </c>
      <c r="P312">
        <v>0</v>
      </c>
      <c r="Q312" t="s">
        <v>25</v>
      </c>
      <c r="R312">
        <f ca="1">DATEDIF(EMP_RAW_Data[[#This Row],[Hire Date]],IF(EMP_RAW_Data[[#This Row],[Exit Date]]="",TODAY(),EMP_RAW_Data[[#This Row],[Exit Date]]),"Y")</f>
        <v>10</v>
      </c>
      <c r="S312" t="str">
        <f>IF(EMP_RAW_Data[[#This Row],[Status]]=1,"Inactive","Active")</f>
        <v>Active</v>
      </c>
    </row>
    <row r="313" spans="1:19" hidden="1" x14ac:dyDescent="0.3">
      <c r="A313" s="1" t="s">
        <v>396</v>
      </c>
      <c r="B313" s="1" t="s">
        <v>18</v>
      </c>
      <c r="C313" s="1" t="s">
        <v>54</v>
      </c>
      <c r="D313" s="1" t="s">
        <v>28</v>
      </c>
      <c r="E313" s="1" t="s">
        <v>29</v>
      </c>
      <c r="F313">
        <v>45</v>
      </c>
      <c r="G313" t="s">
        <v>36</v>
      </c>
      <c r="H313" s="2">
        <v>39063</v>
      </c>
      <c r="I313">
        <v>149537</v>
      </c>
      <c r="J313">
        <v>0.14000000000000001</v>
      </c>
      <c r="K313">
        <v>170472.18</v>
      </c>
      <c r="L313" s="1" t="s">
        <v>23</v>
      </c>
      <c r="M313" s="1" t="s">
        <v>24</v>
      </c>
      <c r="N313" s="2"/>
      <c r="O313">
        <v>312</v>
      </c>
      <c r="P313">
        <v>0</v>
      </c>
      <c r="Q313" t="s">
        <v>25</v>
      </c>
      <c r="R313">
        <f ca="1">DATEDIF(EMP_RAW_Data[[#This Row],[Hire Date]],IF(EMP_RAW_Data[[#This Row],[Exit Date]]="",TODAY(),EMP_RAW_Data[[#This Row],[Exit Date]]),"Y")</f>
        <v>19</v>
      </c>
      <c r="S313" t="str">
        <f>IF(EMP_RAW_Data[[#This Row],[Status]]=1,"Inactive","Active")</f>
        <v>Active</v>
      </c>
    </row>
    <row r="314" spans="1:19" hidden="1" x14ac:dyDescent="0.3">
      <c r="A314" s="1" t="s">
        <v>397</v>
      </c>
      <c r="B314" s="1" t="s">
        <v>18</v>
      </c>
      <c r="C314" s="1" t="s">
        <v>46</v>
      </c>
      <c r="D314" s="1" t="s">
        <v>28</v>
      </c>
      <c r="E314" s="1" t="s">
        <v>21</v>
      </c>
      <c r="F314">
        <v>49</v>
      </c>
      <c r="G314" t="s">
        <v>36</v>
      </c>
      <c r="H314" s="2">
        <v>41379</v>
      </c>
      <c r="I314">
        <v>128303</v>
      </c>
      <c r="J314">
        <v>0.15</v>
      </c>
      <c r="K314">
        <v>147548.45000000001</v>
      </c>
      <c r="L314" s="1" t="s">
        <v>23</v>
      </c>
      <c r="M314" s="1" t="s">
        <v>43</v>
      </c>
      <c r="N314" s="2"/>
      <c r="O314">
        <v>313</v>
      </c>
      <c r="P314">
        <v>0</v>
      </c>
      <c r="Q314" t="s">
        <v>25</v>
      </c>
      <c r="R314">
        <f ca="1">DATEDIF(EMP_RAW_Data[[#This Row],[Hire Date]],IF(EMP_RAW_Data[[#This Row],[Exit Date]]="",TODAY(),EMP_RAW_Data[[#This Row],[Exit Date]]),"Y")</f>
        <v>12</v>
      </c>
      <c r="S314" t="str">
        <f>IF(EMP_RAW_Data[[#This Row],[Status]]=1,"Inactive","Active")</f>
        <v>Active</v>
      </c>
    </row>
    <row r="315" spans="1:19" hidden="1" x14ac:dyDescent="0.3">
      <c r="A315" s="1" t="s">
        <v>398</v>
      </c>
      <c r="B315" s="1" t="s">
        <v>164</v>
      </c>
      <c r="C315" s="1" t="s">
        <v>19</v>
      </c>
      <c r="D315" s="1" t="s">
        <v>35</v>
      </c>
      <c r="E315" s="1" t="s">
        <v>29</v>
      </c>
      <c r="F315">
        <v>46</v>
      </c>
      <c r="G315" t="s">
        <v>36</v>
      </c>
      <c r="H315" s="2">
        <v>38513</v>
      </c>
      <c r="I315">
        <v>67374</v>
      </c>
      <c r="J315">
        <v>0</v>
      </c>
      <c r="K315">
        <v>67374</v>
      </c>
      <c r="L315" s="1" t="s">
        <v>23</v>
      </c>
      <c r="M315" s="1" t="s">
        <v>55</v>
      </c>
      <c r="N315" s="2"/>
      <c r="O315">
        <v>314</v>
      </c>
      <c r="P315">
        <v>0</v>
      </c>
      <c r="Q315" t="s">
        <v>25</v>
      </c>
      <c r="R315">
        <f ca="1">DATEDIF(EMP_RAW_Data[[#This Row],[Hire Date]],IF(EMP_RAW_Data[[#This Row],[Exit Date]]="",TODAY(),EMP_RAW_Data[[#This Row],[Exit Date]]),"Y")</f>
        <v>20</v>
      </c>
      <c r="S315" t="str">
        <f>IF(EMP_RAW_Data[[#This Row],[Status]]=1,"Inactive","Active")</f>
        <v>Active</v>
      </c>
    </row>
    <row r="316" spans="1:19" hidden="1" x14ac:dyDescent="0.3">
      <c r="A316" s="1" t="s">
        <v>399</v>
      </c>
      <c r="B316" s="1" t="s">
        <v>49</v>
      </c>
      <c r="C316" s="1" t="s">
        <v>58</v>
      </c>
      <c r="D316" s="1" t="s">
        <v>47</v>
      </c>
      <c r="E316" s="1" t="s">
        <v>29</v>
      </c>
      <c r="F316">
        <v>46</v>
      </c>
      <c r="G316" t="s">
        <v>36</v>
      </c>
      <c r="H316" s="2">
        <v>40810</v>
      </c>
      <c r="I316">
        <v>102167</v>
      </c>
      <c r="J316">
        <v>0.06</v>
      </c>
      <c r="K316">
        <v>108297.02</v>
      </c>
      <c r="L316" s="1" t="s">
        <v>77</v>
      </c>
      <c r="M316" s="1" t="s">
        <v>81</v>
      </c>
      <c r="N316" s="2"/>
      <c r="O316">
        <v>315</v>
      </c>
      <c r="P316">
        <v>0</v>
      </c>
      <c r="Q316" t="s">
        <v>25</v>
      </c>
      <c r="R316">
        <f ca="1">DATEDIF(EMP_RAW_Data[[#This Row],[Hire Date]],IF(EMP_RAW_Data[[#This Row],[Exit Date]]="",TODAY(),EMP_RAW_Data[[#This Row],[Exit Date]]),"Y")</f>
        <v>14</v>
      </c>
      <c r="S316" t="str">
        <f>IF(EMP_RAW_Data[[#This Row],[Status]]=1,"Inactive","Active")</f>
        <v>Active</v>
      </c>
    </row>
    <row r="317" spans="1:19" hidden="1" x14ac:dyDescent="0.3">
      <c r="A317" s="1" t="s">
        <v>400</v>
      </c>
      <c r="B317" s="1" t="s">
        <v>18</v>
      </c>
      <c r="C317" s="1" t="s">
        <v>46</v>
      </c>
      <c r="D317" s="1" t="s">
        <v>28</v>
      </c>
      <c r="E317" s="1" t="s">
        <v>29</v>
      </c>
      <c r="F317">
        <v>45</v>
      </c>
      <c r="G317" t="s">
        <v>36</v>
      </c>
      <c r="H317" s="2">
        <v>39332</v>
      </c>
      <c r="I317">
        <v>151027</v>
      </c>
      <c r="J317">
        <v>0.1</v>
      </c>
      <c r="K317">
        <v>166129.70000000001</v>
      </c>
      <c r="L317" s="1" t="s">
        <v>30</v>
      </c>
      <c r="M317" s="1" t="s">
        <v>65</v>
      </c>
      <c r="N317" s="2"/>
      <c r="O317">
        <v>316</v>
      </c>
      <c r="P317">
        <v>0</v>
      </c>
      <c r="Q317" t="s">
        <v>25</v>
      </c>
      <c r="R317">
        <f ca="1">DATEDIF(EMP_RAW_Data[[#This Row],[Hire Date]],IF(EMP_RAW_Data[[#This Row],[Exit Date]]="",TODAY(),EMP_RAW_Data[[#This Row],[Exit Date]]),"Y")</f>
        <v>18</v>
      </c>
      <c r="S317" t="str">
        <f>IF(EMP_RAW_Data[[#This Row],[Status]]=1,"Inactive","Active")</f>
        <v>Active</v>
      </c>
    </row>
    <row r="318" spans="1:19" hidden="1" x14ac:dyDescent="0.3">
      <c r="A318" s="1" t="s">
        <v>401</v>
      </c>
      <c r="B318" s="1" t="s">
        <v>49</v>
      </c>
      <c r="C318" s="1" t="s">
        <v>54</v>
      </c>
      <c r="D318" s="1" t="s">
        <v>35</v>
      </c>
      <c r="E318" s="1" t="s">
        <v>29</v>
      </c>
      <c r="F318">
        <v>40</v>
      </c>
      <c r="G318" t="s">
        <v>59</v>
      </c>
      <c r="H318" s="2">
        <v>43147</v>
      </c>
      <c r="I318">
        <v>120905</v>
      </c>
      <c r="J318">
        <v>0.05</v>
      </c>
      <c r="K318">
        <v>126950.25</v>
      </c>
      <c r="L318" s="1" t="s">
        <v>23</v>
      </c>
      <c r="M318" s="1" t="s">
        <v>24</v>
      </c>
      <c r="N318" s="2"/>
      <c r="O318">
        <v>317</v>
      </c>
      <c r="P318">
        <v>0</v>
      </c>
      <c r="Q318" t="s">
        <v>25</v>
      </c>
      <c r="R318">
        <f ca="1">DATEDIF(EMP_RAW_Data[[#This Row],[Hire Date]],IF(EMP_RAW_Data[[#This Row],[Exit Date]]="",TODAY(),EMP_RAW_Data[[#This Row],[Exit Date]]),"Y")</f>
        <v>8</v>
      </c>
      <c r="S318" t="str">
        <f>IF(EMP_RAW_Data[[#This Row],[Status]]=1,"Inactive","Active")</f>
        <v>Active</v>
      </c>
    </row>
    <row r="319" spans="1:19" hidden="1" x14ac:dyDescent="0.3">
      <c r="A319" s="1" t="s">
        <v>402</v>
      </c>
      <c r="B319" s="1" t="s">
        <v>68</v>
      </c>
      <c r="C319" s="1" t="s">
        <v>34</v>
      </c>
      <c r="D319" s="1" t="s">
        <v>28</v>
      </c>
      <c r="E319" s="1" t="s">
        <v>21</v>
      </c>
      <c r="F319">
        <v>48</v>
      </c>
      <c r="G319" t="s">
        <v>36</v>
      </c>
      <c r="H319" s="2">
        <v>43253</v>
      </c>
      <c r="I319">
        <v>231567</v>
      </c>
      <c r="J319">
        <v>0.36</v>
      </c>
      <c r="K319">
        <v>314931.12</v>
      </c>
      <c r="L319" s="1" t="s">
        <v>23</v>
      </c>
      <c r="M319" s="1" t="s">
        <v>24</v>
      </c>
      <c r="N319" s="2"/>
      <c r="O319">
        <v>318</v>
      </c>
      <c r="P319">
        <v>0</v>
      </c>
      <c r="Q319" t="s">
        <v>25</v>
      </c>
      <c r="R319">
        <f ca="1">DATEDIF(EMP_RAW_Data[[#This Row],[Hire Date]],IF(EMP_RAW_Data[[#This Row],[Exit Date]]="",TODAY(),EMP_RAW_Data[[#This Row],[Exit Date]]),"Y")</f>
        <v>7</v>
      </c>
      <c r="S319" t="str">
        <f>IF(EMP_RAW_Data[[#This Row],[Status]]=1,"Inactive","Active")</f>
        <v>Active</v>
      </c>
    </row>
    <row r="320" spans="1:19" hidden="1" x14ac:dyDescent="0.3">
      <c r="A320" s="1" t="s">
        <v>403</v>
      </c>
      <c r="B320" s="1" t="s">
        <v>68</v>
      </c>
      <c r="C320" s="1" t="s">
        <v>19</v>
      </c>
      <c r="D320" s="1" t="s">
        <v>20</v>
      </c>
      <c r="E320" s="1" t="s">
        <v>29</v>
      </c>
      <c r="F320">
        <v>31</v>
      </c>
      <c r="G320" t="s">
        <v>40</v>
      </c>
      <c r="H320" s="2">
        <v>42197</v>
      </c>
      <c r="I320">
        <v>215388</v>
      </c>
      <c r="J320">
        <v>0.33</v>
      </c>
      <c r="K320">
        <v>286466.04000000004</v>
      </c>
      <c r="L320" s="1" t="s">
        <v>23</v>
      </c>
      <c r="M320" s="1" t="s">
        <v>52</v>
      </c>
      <c r="N320" s="2"/>
      <c r="O320">
        <v>319</v>
      </c>
      <c r="P320">
        <v>0</v>
      </c>
      <c r="Q320" t="s">
        <v>25</v>
      </c>
      <c r="R320">
        <f ca="1">DATEDIF(EMP_RAW_Data[[#This Row],[Hire Date]],IF(EMP_RAW_Data[[#This Row],[Exit Date]]="",TODAY(),EMP_RAW_Data[[#This Row],[Exit Date]]),"Y")</f>
        <v>10</v>
      </c>
      <c r="S320" t="str">
        <f>IF(EMP_RAW_Data[[#This Row],[Status]]=1,"Inactive","Active")</f>
        <v>Active</v>
      </c>
    </row>
    <row r="321" spans="1:19" hidden="1" x14ac:dyDescent="0.3">
      <c r="A321" s="1" t="s">
        <v>404</v>
      </c>
      <c r="B321" s="1" t="s">
        <v>18</v>
      </c>
      <c r="C321" s="1" t="s">
        <v>46</v>
      </c>
      <c r="D321" s="1" t="s">
        <v>35</v>
      </c>
      <c r="E321" s="1" t="s">
        <v>21</v>
      </c>
      <c r="F321">
        <v>30</v>
      </c>
      <c r="G321" t="s">
        <v>40</v>
      </c>
      <c r="H321" s="2">
        <v>42168</v>
      </c>
      <c r="I321">
        <v>127972</v>
      </c>
      <c r="J321">
        <v>0.11</v>
      </c>
      <c r="K321">
        <v>142048.92000000001</v>
      </c>
      <c r="L321" s="1" t="s">
        <v>23</v>
      </c>
      <c r="M321" s="1" t="s">
        <v>24</v>
      </c>
      <c r="N321" s="2"/>
      <c r="O321">
        <v>320</v>
      </c>
      <c r="P321">
        <v>0</v>
      </c>
      <c r="Q321" t="s">
        <v>25</v>
      </c>
      <c r="R321">
        <f ca="1">DATEDIF(EMP_RAW_Data[[#This Row],[Hire Date]],IF(EMP_RAW_Data[[#This Row],[Exit Date]]="",TODAY(),EMP_RAW_Data[[#This Row],[Exit Date]]),"Y")</f>
        <v>10</v>
      </c>
      <c r="S321" t="str">
        <f>IF(EMP_RAW_Data[[#This Row],[Status]]=1,"Inactive","Active")</f>
        <v>Active</v>
      </c>
    </row>
    <row r="322" spans="1:19" x14ac:dyDescent="0.3">
      <c r="A322" s="1" t="s">
        <v>405</v>
      </c>
      <c r="B322" s="1" t="s">
        <v>128</v>
      </c>
      <c r="C322" s="1" t="s">
        <v>62</v>
      </c>
      <c r="D322" s="1" t="s">
        <v>47</v>
      </c>
      <c r="E322" s="1" t="s">
        <v>21</v>
      </c>
      <c r="F322">
        <v>55</v>
      </c>
      <c r="G322" t="s">
        <v>22</v>
      </c>
      <c r="H322" s="2">
        <v>34915</v>
      </c>
      <c r="I322">
        <v>80701</v>
      </c>
      <c r="J322">
        <v>0</v>
      </c>
      <c r="K322">
        <v>80701</v>
      </c>
      <c r="L322" s="1" t="s">
        <v>23</v>
      </c>
      <c r="M322" s="1" t="s">
        <v>37</v>
      </c>
      <c r="N322" s="2">
        <v>38456</v>
      </c>
      <c r="O322">
        <v>321</v>
      </c>
      <c r="P322">
        <v>1</v>
      </c>
      <c r="Q322" t="s">
        <v>25</v>
      </c>
      <c r="R322">
        <f ca="1">DATEDIF(EMP_RAW_Data[[#This Row],[Hire Date]],IF(EMP_RAW_Data[[#This Row],[Exit Date]]="",TODAY(),EMP_RAW_Data[[#This Row],[Exit Date]]),"Y")</f>
        <v>9</v>
      </c>
      <c r="S322" t="str">
        <f>IF(EMP_RAW_Data[[#This Row],[Status]]=1,"Inactive","Active")</f>
        <v>Inactive</v>
      </c>
    </row>
    <row r="323" spans="1:19" hidden="1" x14ac:dyDescent="0.3">
      <c r="A323" s="1" t="s">
        <v>406</v>
      </c>
      <c r="B323" s="1" t="s">
        <v>49</v>
      </c>
      <c r="C323" s="1" t="s">
        <v>69</v>
      </c>
      <c r="D323" s="1" t="s">
        <v>47</v>
      </c>
      <c r="E323" s="1" t="s">
        <v>29</v>
      </c>
      <c r="F323">
        <v>28</v>
      </c>
      <c r="G323" t="s">
        <v>40</v>
      </c>
      <c r="H323" s="2">
        <v>43863</v>
      </c>
      <c r="I323">
        <v>115417</v>
      </c>
      <c r="J323">
        <v>0.06</v>
      </c>
      <c r="K323">
        <v>122342.02</v>
      </c>
      <c r="L323" s="1" t="s">
        <v>30</v>
      </c>
      <c r="M323" s="1" t="s">
        <v>65</v>
      </c>
      <c r="N323" s="2"/>
      <c r="O323">
        <v>322</v>
      </c>
      <c r="P323">
        <v>0</v>
      </c>
      <c r="Q323" t="s">
        <v>25</v>
      </c>
      <c r="R323">
        <f ca="1">DATEDIF(EMP_RAW_Data[[#This Row],[Hire Date]],IF(EMP_RAW_Data[[#This Row],[Exit Date]]="",TODAY(),EMP_RAW_Data[[#This Row],[Exit Date]]),"Y")</f>
        <v>6</v>
      </c>
      <c r="S323" t="str">
        <f>IF(EMP_RAW_Data[[#This Row],[Status]]=1,"Inactive","Active")</f>
        <v>Active</v>
      </c>
    </row>
    <row r="324" spans="1:19" hidden="1" x14ac:dyDescent="0.3">
      <c r="A324" s="1" t="s">
        <v>407</v>
      </c>
      <c r="B324" s="1" t="s">
        <v>86</v>
      </c>
      <c r="C324" s="1" t="s">
        <v>62</v>
      </c>
      <c r="D324" s="1" t="s">
        <v>47</v>
      </c>
      <c r="E324" s="1" t="s">
        <v>21</v>
      </c>
      <c r="F324">
        <v>45</v>
      </c>
      <c r="G324" t="s">
        <v>36</v>
      </c>
      <c r="H324" s="2">
        <v>43635</v>
      </c>
      <c r="I324">
        <v>88045</v>
      </c>
      <c r="J324">
        <v>0</v>
      </c>
      <c r="K324">
        <v>88045</v>
      </c>
      <c r="L324" s="1" t="s">
        <v>23</v>
      </c>
      <c r="M324" s="1" t="s">
        <v>37</v>
      </c>
      <c r="N324" s="2"/>
      <c r="O324">
        <v>323</v>
      </c>
      <c r="P324">
        <v>0</v>
      </c>
      <c r="Q324" t="s">
        <v>25</v>
      </c>
      <c r="R324">
        <f ca="1">DATEDIF(EMP_RAW_Data[[#This Row],[Hire Date]],IF(EMP_RAW_Data[[#This Row],[Exit Date]]="",TODAY(),EMP_RAW_Data[[#This Row],[Exit Date]]),"Y")</f>
        <v>6</v>
      </c>
      <c r="S324" t="str">
        <f>IF(EMP_RAW_Data[[#This Row],[Status]]=1,"Inactive","Active")</f>
        <v>Active</v>
      </c>
    </row>
    <row r="325" spans="1:19" hidden="1" x14ac:dyDescent="0.3">
      <c r="A325" s="1" t="s">
        <v>408</v>
      </c>
      <c r="B325" s="1" t="s">
        <v>39</v>
      </c>
      <c r="C325" s="1" t="s">
        <v>19</v>
      </c>
      <c r="D325" s="1" t="s">
        <v>35</v>
      </c>
      <c r="E325" s="1" t="s">
        <v>21</v>
      </c>
      <c r="F325">
        <v>45</v>
      </c>
      <c r="G325" t="s">
        <v>36</v>
      </c>
      <c r="H325" s="2">
        <v>43185</v>
      </c>
      <c r="I325">
        <v>86478</v>
      </c>
      <c r="J325">
        <v>0.06</v>
      </c>
      <c r="K325">
        <v>91666.68</v>
      </c>
      <c r="L325" s="1" t="s">
        <v>23</v>
      </c>
      <c r="M325" s="1" t="s">
        <v>55</v>
      </c>
      <c r="N325" s="2"/>
      <c r="O325">
        <v>324</v>
      </c>
      <c r="P325">
        <v>0</v>
      </c>
      <c r="Q325" t="s">
        <v>25</v>
      </c>
      <c r="R325">
        <f ca="1">DATEDIF(EMP_RAW_Data[[#This Row],[Hire Date]],IF(EMP_RAW_Data[[#This Row],[Exit Date]]="",TODAY(),EMP_RAW_Data[[#This Row],[Exit Date]]),"Y")</f>
        <v>7</v>
      </c>
      <c r="S325" t="str">
        <f>IF(EMP_RAW_Data[[#This Row],[Status]]=1,"Inactive","Active")</f>
        <v>Active</v>
      </c>
    </row>
    <row r="326" spans="1:19" hidden="1" x14ac:dyDescent="0.3">
      <c r="A326" s="1" t="s">
        <v>409</v>
      </c>
      <c r="B326" s="1" t="s">
        <v>68</v>
      </c>
      <c r="C326" s="1" t="s">
        <v>62</v>
      </c>
      <c r="D326" s="1" t="s">
        <v>28</v>
      </c>
      <c r="E326" s="1" t="s">
        <v>29</v>
      </c>
      <c r="F326">
        <v>63</v>
      </c>
      <c r="G326" t="s">
        <v>22</v>
      </c>
      <c r="H326" s="2">
        <v>42387</v>
      </c>
      <c r="I326">
        <v>180994</v>
      </c>
      <c r="J326">
        <v>0.39</v>
      </c>
      <c r="K326">
        <v>251581.66</v>
      </c>
      <c r="L326" s="1" t="s">
        <v>23</v>
      </c>
      <c r="M326" s="1" t="s">
        <v>24</v>
      </c>
      <c r="N326" s="2"/>
      <c r="O326">
        <v>325</v>
      </c>
      <c r="P326">
        <v>0</v>
      </c>
      <c r="Q326" t="s">
        <v>25</v>
      </c>
      <c r="R326">
        <f ca="1">DATEDIF(EMP_RAW_Data[[#This Row],[Hire Date]],IF(EMP_RAW_Data[[#This Row],[Exit Date]]="",TODAY(),EMP_RAW_Data[[#This Row],[Exit Date]]),"Y")</f>
        <v>10</v>
      </c>
      <c r="S326" t="str">
        <f>IF(EMP_RAW_Data[[#This Row],[Status]]=1,"Inactive","Active")</f>
        <v>Active</v>
      </c>
    </row>
    <row r="327" spans="1:19" hidden="1" x14ac:dyDescent="0.3">
      <c r="A327" s="1" t="s">
        <v>410</v>
      </c>
      <c r="B327" s="1" t="s">
        <v>96</v>
      </c>
      <c r="C327" s="1" t="s">
        <v>34</v>
      </c>
      <c r="D327" s="1" t="s">
        <v>20</v>
      </c>
      <c r="E327" s="1" t="s">
        <v>21</v>
      </c>
      <c r="F327">
        <v>55</v>
      </c>
      <c r="G327" t="s">
        <v>22</v>
      </c>
      <c r="H327" s="2">
        <v>39418</v>
      </c>
      <c r="I327">
        <v>64494</v>
      </c>
      <c r="J327">
        <v>0</v>
      </c>
      <c r="K327">
        <v>64494</v>
      </c>
      <c r="L327" s="1" t="s">
        <v>23</v>
      </c>
      <c r="M327" s="1" t="s">
        <v>74</v>
      </c>
      <c r="N327" s="2"/>
      <c r="O327">
        <v>326</v>
      </c>
      <c r="P327">
        <v>0</v>
      </c>
      <c r="Q327" t="s">
        <v>25</v>
      </c>
      <c r="R327">
        <f ca="1">DATEDIF(EMP_RAW_Data[[#This Row],[Hire Date]],IF(EMP_RAW_Data[[#This Row],[Exit Date]]="",TODAY(),EMP_RAW_Data[[#This Row],[Exit Date]]),"Y")</f>
        <v>18</v>
      </c>
      <c r="S327" t="str">
        <f>IF(EMP_RAW_Data[[#This Row],[Status]]=1,"Inactive","Active")</f>
        <v>Active</v>
      </c>
    </row>
    <row r="328" spans="1:19" hidden="1" x14ac:dyDescent="0.3">
      <c r="A328" s="1" t="s">
        <v>411</v>
      </c>
      <c r="B328" s="1" t="s">
        <v>45</v>
      </c>
      <c r="C328" s="1" t="s">
        <v>46</v>
      </c>
      <c r="D328" s="1" t="s">
        <v>28</v>
      </c>
      <c r="E328" s="1" t="s">
        <v>29</v>
      </c>
      <c r="F328">
        <v>47</v>
      </c>
      <c r="G328" t="s">
        <v>36</v>
      </c>
      <c r="H328" s="2">
        <v>37550</v>
      </c>
      <c r="I328">
        <v>70122</v>
      </c>
      <c r="J328">
        <v>0</v>
      </c>
      <c r="K328">
        <v>70122</v>
      </c>
      <c r="L328" s="1" t="s">
        <v>23</v>
      </c>
      <c r="M328" s="1" t="s">
        <v>74</v>
      </c>
      <c r="N328" s="2"/>
      <c r="O328">
        <v>327</v>
      </c>
      <c r="P328">
        <v>0</v>
      </c>
      <c r="Q328" t="s">
        <v>25</v>
      </c>
      <c r="R328">
        <f ca="1">DATEDIF(EMP_RAW_Data[[#This Row],[Hire Date]],IF(EMP_RAW_Data[[#This Row],[Exit Date]]="",TODAY(),EMP_RAW_Data[[#This Row],[Exit Date]]),"Y")</f>
        <v>23</v>
      </c>
      <c r="S328" t="str">
        <f>IF(EMP_RAW_Data[[#This Row],[Status]]=1,"Inactive","Active")</f>
        <v>Active</v>
      </c>
    </row>
    <row r="329" spans="1:19" x14ac:dyDescent="0.3">
      <c r="A329" s="1" t="s">
        <v>412</v>
      </c>
      <c r="B329" s="1" t="s">
        <v>33</v>
      </c>
      <c r="C329" s="1" t="s">
        <v>54</v>
      </c>
      <c r="D329" s="1" t="s">
        <v>28</v>
      </c>
      <c r="E329" s="1" t="s">
        <v>29</v>
      </c>
      <c r="F329">
        <v>29</v>
      </c>
      <c r="G329" t="s">
        <v>40</v>
      </c>
      <c r="H329" s="2">
        <v>42785</v>
      </c>
      <c r="I329">
        <v>181854</v>
      </c>
      <c r="J329">
        <v>0.28999999999999998</v>
      </c>
      <c r="K329">
        <v>234591.66</v>
      </c>
      <c r="L329" s="1" t="s">
        <v>23</v>
      </c>
      <c r="M329" s="1" t="s">
        <v>24</v>
      </c>
      <c r="N329" s="2">
        <v>43945</v>
      </c>
      <c r="O329">
        <v>328</v>
      </c>
      <c r="P329">
        <v>1</v>
      </c>
      <c r="Q329" t="s">
        <v>25</v>
      </c>
      <c r="R329">
        <f ca="1">DATEDIF(EMP_RAW_Data[[#This Row],[Hire Date]],IF(EMP_RAW_Data[[#This Row],[Exit Date]]="",TODAY(),EMP_RAW_Data[[#This Row],[Exit Date]]),"Y")</f>
        <v>3</v>
      </c>
      <c r="S329" t="str">
        <f>IF(EMP_RAW_Data[[#This Row],[Status]]=1,"Inactive","Active")</f>
        <v>Inactive</v>
      </c>
    </row>
    <row r="330" spans="1:19" hidden="1" x14ac:dyDescent="0.3">
      <c r="A330" s="1" t="s">
        <v>413</v>
      </c>
      <c r="B330" s="1" t="s">
        <v>130</v>
      </c>
      <c r="C330" s="1" t="s">
        <v>58</v>
      </c>
      <c r="D330" s="1" t="s">
        <v>35</v>
      </c>
      <c r="E330" s="1" t="s">
        <v>21</v>
      </c>
      <c r="F330">
        <v>34</v>
      </c>
      <c r="G330" t="s">
        <v>40</v>
      </c>
      <c r="H330" s="2">
        <v>42664</v>
      </c>
      <c r="I330">
        <v>52811</v>
      </c>
      <c r="J330">
        <v>0</v>
      </c>
      <c r="K330">
        <v>52811</v>
      </c>
      <c r="L330" s="1" t="s">
        <v>23</v>
      </c>
      <c r="M330" s="1" t="s">
        <v>52</v>
      </c>
      <c r="N330" s="2"/>
      <c r="O330">
        <v>329</v>
      </c>
      <c r="P330">
        <v>0</v>
      </c>
      <c r="Q330" t="s">
        <v>25</v>
      </c>
      <c r="R330">
        <f ca="1">DATEDIF(EMP_RAW_Data[[#This Row],[Hire Date]],IF(EMP_RAW_Data[[#This Row],[Exit Date]]="",TODAY(),EMP_RAW_Data[[#This Row],[Exit Date]]),"Y")</f>
        <v>9</v>
      </c>
      <c r="S330" t="str">
        <f>IF(EMP_RAW_Data[[#This Row],[Status]]=1,"Inactive","Active")</f>
        <v>Active</v>
      </c>
    </row>
    <row r="331" spans="1:19" hidden="1" x14ac:dyDescent="0.3">
      <c r="A331" s="1" t="s">
        <v>414</v>
      </c>
      <c r="B331" s="1" t="s">
        <v>208</v>
      </c>
      <c r="C331" s="1" t="s">
        <v>19</v>
      </c>
      <c r="D331" s="1" t="s">
        <v>20</v>
      </c>
      <c r="E331" s="1" t="s">
        <v>21</v>
      </c>
      <c r="F331">
        <v>28</v>
      </c>
      <c r="G331" t="s">
        <v>40</v>
      </c>
      <c r="H331" s="2">
        <v>43763</v>
      </c>
      <c r="I331">
        <v>50111</v>
      </c>
      <c r="J331">
        <v>0</v>
      </c>
      <c r="K331">
        <v>50111</v>
      </c>
      <c r="L331" s="1" t="s">
        <v>30</v>
      </c>
      <c r="M331" s="1" t="s">
        <v>102</v>
      </c>
      <c r="N331" s="2"/>
      <c r="O331">
        <v>330</v>
      </c>
      <c r="P331">
        <v>0</v>
      </c>
      <c r="Q331" t="s">
        <v>25</v>
      </c>
      <c r="R331">
        <f ca="1">DATEDIF(EMP_RAW_Data[[#This Row],[Hire Date]],IF(EMP_RAW_Data[[#This Row],[Exit Date]]="",TODAY(),EMP_RAW_Data[[#This Row],[Exit Date]]),"Y")</f>
        <v>6</v>
      </c>
      <c r="S331" t="str">
        <f>IF(EMP_RAW_Data[[#This Row],[Status]]=1,"Inactive","Active")</f>
        <v>Active</v>
      </c>
    </row>
    <row r="332" spans="1:19" hidden="1" x14ac:dyDescent="0.3">
      <c r="A332" s="1" t="s">
        <v>415</v>
      </c>
      <c r="B332" s="1" t="s">
        <v>290</v>
      </c>
      <c r="C332" s="1" t="s">
        <v>19</v>
      </c>
      <c r="D332" s="1" t="s">
        <v>28</v>
      </c>
      <c r="E332" s="1" t="s">
        <v>29</v>
      </c>
      <c r="F332">
        <v>31</v>
      </c>
      <c r="G332" t="s">
        <v>40</v>
      </c>
      <c r="H332" s="2">
        <v>42497</v>
      </c>
      <c r="I332">
        <v>71192</v>
      </c>
      <c r="J332">
        <v>0</v>
      </c>
      <c r="K332">
        <v>71192</v>
      </c>
      <c r="L332" s="1" t="s">
        <v>23</v>
      </c>
      <c r="M332" s="1" t="s">
        <v>55</v>
      </c>
      <c r="N332" s="2"/>
      <c r="O332">
        <v>331</v>
      </c>
      <c r="P332">
        <v>0</v>
      </c>
      <c r="Q332" t="s">
        <v>25</v>
      </c>
      <c r="R332">
        <f ca="1">DATEDIF(EMP_RAW_Data[[#This Row],[Hire Date]],IF(EMP_RAW_Data[[#This Row],[Exit Date]]="",TODAY(),EMP_RAW_Data[[#This Row],[Exit Date]]),"Y")</f>
        <v>9</v>
      </c>
      <c r="S332" t="str">
        <f>IF(EMP_RAW_Data[[#This Row],[Status]]=1,"Inactive","Active")</f>
        <v>Active</v>
      </c>
    </row>
    <row r="333" spans="1:19" hidden="1" x14ac:dyDescent="0.3">
      <c r="A333" s="1" t="s">
        <v>416</v>
      </c>
      <c r="B333" s="1" t="s">
        <v>33</v>
      </c>
      <c r="C333" s="1" t="s">
        <v>46</v>
      </c>
      <c r="D333" s="1" t="s">
        <v>28</v>
      </c>
      <c r="E333" s="1" t="s">
        <v>21</v>
      </c>
      <c r="F333">
        <v>50</v>
      </c>
      <c r="G333" t="s">
        <v>36</v>
      </c>
      <c r="H333" s="2">
        <v>43452</v>
      </c>
      <c r="I333">
        <v>155351</v>
      </c>
      <c r="J333">
        <v>0.2</v>
      </c>
      <c r="K333">
        <v>186421.2</v>
      </c>
      <c r="L333" s="1" t="s">
        <v>23</v>
      </c>
      <c r="M333" s="1" t="s">
        <v>24</v>
      </c>
      <c r="N333" s="2"/>
      <c r="O333">
        <v>332</v>
      </c>
      <c r="P333">
        <v>0</v>
      </c>
      <c r="Q333" t="s">
        <v>25</v>
      </c>
      <c r="R333">
        <f ca="1">DATEDIF(EMP_RAW_Data[[#This Row],[Hire Date]],IF(EMP_RAW_Data[[#This Row],[Exit Date]]="",TODAY(),EMP_RAW_Data[[#This Row],[Exit Date]]),"Y")</f>
        <v>7</v>
      </c>
      <c r="S333" t="str">
        <f>IF(EMP_RAW_Data[[#This Row],[Status]]=1,"Inactive","Active")</f>
        <v>Active</v>
      </c>
    </row>
    <row r="334" spans="1:19" hidden="1" x14ac:dyDescent="0.3">
      <c r="A334" s="1" t="s">
        <v>417</v>
      </c>
      <c r="B334" s="1" t="s">
        <v>33</v>
      </c>
      <c r="C334" s="1" t="s">
        <v>58</v>
      </c>
      <c r="D334" s="1" t="s">
        <v>35</v>
      </c>
      <c r="E334" s="1" t="s">
        <v>29</v>
      </c>
      <c r="F334">
        <v>39</v>
      </c>
      <c r="G334" t="s">
        <v>59</v>
      </c>
      <c r="H334" s="2">
        <v>39049</v>
      </c>
      <c r="I334">
        <v>161690</v>
      </c>
      <c r="J334">
        <v>0.28999999999999998</v>
      </c>
      <c r="K334">
        <v>208580.1</v>
      </c>
      <c r="L334" s="1" t="s">
        <v>30</v>
      </c>
      <c r="M334" s="1" t="s">
        <v>90</v>
      </c>
      <c r="N334" s="2"/>
      <c r="O334">
        <v>333</v>
      </c>
      <c r="P334">
        <v>0</v>
      </c>
      <c r="Q334" t="s">
        <v>25</v>
      </c>
      <c r="R334">
        <f ca="1">DATEDIF(EMP_RAW_Data[[#This Row],[Hire Date]],IF(EMP_RAW_Data[[#This Row],[Exit Date]]="",TODAY(),EMP_RAW_Data[[#This Row],[Exit Date]]),"Y")</f>
        <v>19</v>
      </c>
      <c r="S334" t="str">
        <f>IF(EMP_RAW_Data[[#This Row],[Status]]=1,"Inactive","Active")</f>
        <v>Active</v>
      </c>
    </row>
    <row r="335" spans="1:19" hidden="1" x14ac:dyDescent="0.3">
      <c r="A335" s="1" t="s">
        <v>418</v>
      </c>
      <c r="B335" s="1" t="s">
        <v>180</v>
      </c>
      <c r="C335" s="1" t="s">
        <v>62</v>
      </c>
      <c r="D335" s="1" t="s">
        <v>35</v>
      </c>
      <c r="E335" s="1" t="s">
        <v>21</v>
      </c>
      <c r="F335">
        <v>35</v>
      </c>
      <c r="G335" t="s">
        <v>59</v>
      </c>
      <c r="H335" s="2">
        <v>42776</v>
      </c>
      <c r="I335">
        <v>60132</v>
      </c>
      <c r="J335">
        <v>0</v>
      </c>
      <c r="K335">
        <v>60132</v>
      </c>
      <c r="L335" s="1" t="s">
        <v>30</v>
      </c>
      <c r="M335" s="1" t="s">
        <v>31</v>
      </c>
      <c r="N335" s="2"/>
      <c r="O335">
        <v>334</v>
      </c>
      <c r="P335">
        <v>0</v>
      </c>
      <c r="Q335" t="s">
        <v>25</v>
      </c>
      <c r="R335">
        <f ca="1">DATEDIF(EMP_RAW_Data[[#This Row],[Hire Date]],IF(EMP_RAW_Data[[#This Row],[Exit Date]]="",TODAY(),EMP_RAW_Data[[#This Row],[Exit Date]]),"Y")</f>
        <v>9</v>
      </c>
      <c r="S335" t="str">
        <f>IF(EMP_RAW_Data[[#This Row],[Status]]=1,"Inactive","Active")</f>
        <v>Active</v>
      </c>
    </row>
    <row r="336" spans="1:19" hidden="1" x14ac:dyDescent="0.3">
      <c r="A336" s="1" t="s">
        <v>419</v>
      </c>
      <c r="B336" s="1" t="s">
        <v>164</v>
      </c>
      <c r="C336" s="1" t="s">
        <v>19</v>
      </c>
      <c r="D336" s="1" t="s">
        <v>28</v>
      </c>
      <c r="E336" s="1" t="s">
        <v>29</v>
      </c>
      <c r="F336">
        <v>54</v>
      </c>
      <c r="G336" t="s">
        <v>36</v>
      </c>
      <c r="H336" s="2">
        <v>34631</v>
      </c>
      <c r="I336">
        <v>87216</v>
      </c>
      <c r="J336">
        <v>0</v>
      </c>
      <c r="K336">
        <v>87216</v>
      </c>
      <c r="L336" s="1" t="s">
        <v>23</v>
      </c>
      <c r="M336" s="1" t="s">
        <v>52</v>
      </c>
      <c r="N336" s="2"/>
      <c r="O336">
        <v>335</v>
      </c>
      <c r="P336">
        <v>0</v>
      </c>
      <c r="Q336" t="s">
        <v>25</v>
      </c>
      <c r="R336">
        <f ca="1">DATEDIF(EMP_RAW_Data[[#This Row],[Hire Date]],IF(EMP_RAW_Data[[#This Row],[Exit Date]]="",TODAY(),EMP_RAW_Data[[#This Row],[Exit Date]]),"Y")</f>
        <v>31</v>
      </c>
      <c r="S336" t="str">
        <f>IF(EMP_RAW_Data[[#This Row],[Status]]=1,"Inactive","Active")</f>
        <v>Active</v>
      </c>
    </row>
    <row r="337" spans="1:19" hidden="1" x14ac:dyDescent="0.3">
      <c r="A337" s="1" t="s">
        <v>420</v>
      </c>
      <c r="B337" s="1" t="s">
        <v>208</v>
      </c>
      <c r="C337" s="1" t="s">
        <v>19</v>
      </c>
      <c r="D337" s="1" t="s">
        <v>47</v>
      </c>
      <c r="E337" s="1" t="s">
        <v>29</v>
      </c>
      <c r="F337">
        <v>47</v>
      </c>
      <c r="G337" t="s">
        <v>36</v>
      </c>
      <c r="H337" s="2">
        <v>43944</v>
      </c>
      <c r="I337">
        <v>50069</v>
      </c>
      <c r="J337">
        <v>0</v>
      </c>
      <c r="K337">
        <v>50069</v>
      </c>
      <c r="L337" s="1" t="s">
        <v>23</v>
      </c>
      <c r="M337" s="1" t="s">
        <v>24</v>
      </c>
      <c r="N337" s="2"/>
      <c r="O337">
        <v>336</v>
      </c>
      <c r="P337">
        <v>0</v>
      </c>
      <c r="Q337" t="s">
        <v>25</v>
      </c>
      <c r="R337">
        <f ca="1">DATEDIF(EMP_RAW_Data[[#This Row],[Hire Date]],IF(EMP_RAW_Data[[#This Row],[Exit Date]]="",TODAY(),EMP_RAW_Data[[#This Row],[Exit Date]]),"Y")</f>
        <v>5</v>
      </c>
      <c r="S337" t="str">
        <f>IF(EMP_RAW_Data[[#This Row],[Status]]=1,"Inactive","Active")</f>
        <v>Active</v>
      </c>
    </row>
    <row r="338" spans="1:19" hidden="1" x14ac:dyDescent="0.3">
      <c r="A338" s="1" t="s">
        <v>421</v>
      </c>
      <c r="B338" s="1" t="s">
        <v>33</v>
      </c>
      <c r="C338" s="1" t="s">
        <v>19</v>
      </c>
      <c r="D338" s="1" t="s">
        <v>35</v>
      </c>
      <c r="E338" s="1" t="s">
        <v>21</v>
      </c>
      <c r="F338">
        <v>26</v>
      </c>
      <c r="G338" t="s">
        <v>40</v>
      </c>
      <c r="H338" s="2">
        <v>44403</v>
      </c>
      <c r="I338">
        <v>151108</v>
      </c>
      <c r="J338">
        <v>0.22</v>
      </c>
      <c r="K338">
        <v>184351.76</v>
      </c>
      <c r="L338" s="1" t="s">
        <v>23</v>
      </c>
      <c r="M338" s="1" t="s">
        <v>43</v>
      </c>
      <c r="N338" s="2"/>
      <c r="O338">
        <v>337</v>
      </c>
      <c r="P338">
        <v>0</v>
      </c>
      <c r="Q338" t="s">
        <v>25</v>
      </c>
      <c r="R338">
        <f ca="1">DATEDIF(EMP_RAW_Data[[#This Row],[Hire Date]],IF(EMP_RAW_Data[[#This Row],[Exit Date]]="",TODAY(),EMP_RAW_Data[[#This Row],[Exit Date]]),"Y")</f>
        <v>4</v>
      </c>
      <c r="S338" t="str">
        <f>IF(EMP_RAW_Data[[#This Row],[Status]]=1,"Inactive","Active")</f>
        <v>Active</v>
      </c>
    </row>
    <row r="339" spans="1:19" hidden="1" x14ac:dyDescent="0.3">
      <c r="A339" s="1" t="s">
        <v>422</v>
      </c>
      <c r="B339" s="1" t="s">
        <v>39</v>
      </c>
      <c r="C339" s="1" t="s">
        <v>19</v>
      </c>
      <c r="D339" s="1" t="s">
        <v>28</v>
      </c>
      <c r="E339" s="1" t="s">
        <v>21</v>
      </c>
      <c r="F339">
        <v>42</v>
      </c>
      <c r="G339" t="s">
        <v>59</v>
      </c>
      <c r="H339" s="2">
        <v>38640</v>
      </c>
      <c r="I339">
        <v>67398</v>
      </c>
      <c r="J339">
        <v>7.0000000000000007E-2</v>
      </c>
      <c r="K339">
        <v>72115.86</v>
      </c>
      <c r="L339" s="1" t="s">
        <v>23</v>
      </c>
      <c r="M339" s="1" t="s">
        <v>43</v>
      </c>
      <c r="N339" s="2"/>
      <c r="O339">
        <v>338</v>
      </c>
      <c r="P339">
        <v>0</v>
      </c>
      <c r="Q339" t="s">
        <v>25</v>
      </c>
      <c r="R339">
        <f ca="1">DATEDIF(EMP_RAW_Data[[#This Row],[Hire Date]],IF(EMP_RAW_Data[[#This Row],[Exit Date]]="",TODAY(),EMP_RAW_Data[[#This Row],[Exit Date]]),"Y")</f>
        <v>20</v>
      </c>
      <c r="S339" t="str">
        <f>IF(EMP_RAW_Data[[#This Row],[Status]]=1,"Inactive","Active")</f>
        <v>Active</v>
      </c>
    </row>
    <row r="340" spans="1:19" hidden="1" x14ac:dyDescent="0.3">
      <c r="A340" s="1" t="s">
        <v>423</v>
      </c>
      <c r="B340" s="1" t="s">
        <v>180</v>
      </c>
      <c r="C340" s="1" t="s">
        <v>62</v>
      </c>
      <c r="D340" s="1" t="s">
        <v>20</v>
      </c>
      <c r="E340" s="1" t="s">
        <v>21</v>
      </c>
      <c r="F340">
        <v>47</v>
      </c>
      <c r="G340" t="s">
        <v>36</v>
      </c>
      <c r="H340" s="2">
        <v>42245</v>
      </c>
      <c r="I340">
        <v>68488</v>
      </c>
      <c r="J340">
        <v>0</v>
      </c>
      <c r="K340">
        <v>68488</v>
      </c>
      <c r="L340" s="1" t="s">
        <v>23</v>
      </c>
      <c r="M340" s="1" t="s">
        <v>24</v>
      </c>
      <c r="N340" s="2"/>
      <c r="O340">
        <v>339</v>
      </c>
      <c r="P340">
        <v>0</v>
      </c>
      <c r="Q340" t="s">
        <v>25</v>
      </c>
      <c r="R340">
        <f ca="1">DATEDIF(EMP_RAW_Data[[#This Row],[Hire Date]],IF(EMP_RAW_Data[[#This Row],[Exit Date]]="",TODAY(),EMP_RAW_Data[[#This Row],[Exit Date]]),"Y")</f>
        <v>10</v>
      </c>
      <c r="S340" t="str">
        <f>IF(EMP_RAW_Data[[#This Row],[Status]]=1,"Inactive","Active")</f>
        <v>Active</v>
      </c>
    </row>
    <row r="341" spans="1:19" hidden="1" x14ac:dyDescent="0.3">
      <c r="A341" s="1" t="s">
        <v>424</v>
      </c>
      <c r="B341" s="1" t="s">
        <v>86</v>
      </c>
      <c r="C341" s="1" t="s">
        <v>62</v>
      </c>
      <c r="D341" s="1" t="s">
        <v>28</v>
      </c>
      <c r="E341" s="1" t="s">
        <v>21</v>
      </c>
      <c r="F341">
        <v>60</v>
      </c>
      <c r="G341" t="s">
        <v>22</v>
      </c>
      <c r="H341" s="2">
        <v>35992</v>
      </c>
      <c r="I341">
        <v>92932</v>
      </c>
      <c r="J341">
        <v>0</v>
      </c>
      <c r="K341">
        <v>92932</v>
      </c>
      <c r="L341" s="1" t="s">
        <v>23</v>
      </c>
      <c r="M341" s="1" t="s">
        <v>74</v>
      </c>
      <c r="N341" s="2"/>
      <c r="O341">
        <v>340</v>
      </c>
      <c r="P341">
        <v>0</v>
      </c>
      <c r="Q341" t="s">
        <v>25</v>
      </c>
      <c r="R341">
        <f ca="1">DATEDIF(EMP_RAW_Data[[#This Row],[Hire Date]],IF(EMP_RAW_Data[[#This Row],[Exit Date]]="",TODAY(),EMP_RAW_Data[[#This Row],[Exit Date]]),"Y")</f>
        <v>27</v>
      </c>
      <c r="S341" t="str">
        <f>IF(EMP_RAW_Data[[#This Row],[Status]]=1,"Inactive","Active")</f>
        <v>Active</v>
      </c>
    </row>
    <row r="342" spans="1:19" hidden="1" x14ac:dyDescent="0.3">
      <c r="A342" s="1" t="s">
        <v>425</v>
      </c>
      <c r="B342" s="1" t="s">
        <v>51</v>
      </c>
      <c r="C342" s="1" t="s">
        <v>34</v>
      </c>
      <c r="D342" s="1" t="s">
        <v>47</v>
      </c>
      <c r="E342" s="1" t="s">
        <v>21</v>
      </c>
      <c r="F342">
        <v>36</v>
      </c>
      <c r="G342" t="s">
        <v>59</v>
      </c>
      <c r="H342" s="2">
        <v>39994</v>
      </c>
      <c r="I342">
        <v>43363</v>
      </c>
      <c r="J342">
        <v>0</v>
      </c>
      <c r="K342">
        <v>43363</v>
      </c>
      <c r="L342" s="1" t="s">
        <v>23</v>
      </c>
      <c r="M342" s="1" t="s">
        <v>55</v>
      </c>
      <c r="N342" s="2"/>
      <c r="O342">
        <v>341</v>
      </c>
      <c r="P342">
        <v>0</v>
      </c>
      <c r="Q342" t="s">
        <v>25</v>
      </c>
      <c r="R342">
        <f ca="1">DATEDIF(EMP_RAW_Data[[#This Row],[Hire Date]],IF(EMP_RAW_Data[[#This Row],[Exit Date]]="",TODAY(),EMP_RAW_Data[[#This Row],[Exit Date]]),"Y")</f>
        <v>16</v>
      </c>
      <c r="S342" t="str">
        <f>IF(EMP_RAW_Data[[#This Row],[Status]]=1,"Inactive","Active")</f>
        <v>Active</v>
      </c>
    </row>
    <row r="343" spans="1:19" hidden="1" x14ac:dyDescent="0.3">
      <c r="A343" s="1" t="s">
        <v>426</v>
      </c>
      <c r="B343" s="1" t="s">
        <v>278</v>
      </c>
      <c r="C343" s="1" t="s">
        <v>19</v>
      </c>
      <c r="D343" s="1" t="s">
        <v>35</v>
      </c>
      <c r="E343" s="1" t="s">
        <v>29</v>
      </c>
      <c r="F343">
        <v>31</v>
      </c>
      <c r="G343" t="s">
        <v>40</v>
      </c>
      <c r="H343" s="2">
        <v>42780</v>
      </c>
      <c r="I343">
        <v>95963</v>
      </c>
      <c r="J343">
        <v>0</v>
      </c>
      <c r="K343">
        <v>95963</v>
      </c>
      <c r="L343" s="1" t="s">
        <v>30</v>
      </c>
      <c r="M343" s="1" t="s">
        <v>102</v>
      </c>
      <c r="N343" s="2"/>
      <c r="O343">
        <v>342</v>
      </c>
      <c r="P343">
        <v>0</v>
      </c>
      <c r="Q343" t="s">
        <v>25</v>
      </c>
      <c r="R343">
        <f ca="1">DATEDIF(EMP_RAW_Data[[#This Row],[Hire Date]],IF(EMP_RAW_Data[[#This Row],[Exit Date]]="",TODAY(),EMP_RAW_Data[[#This Row],[Exit Date]]),"Y")</f>
        <v>9</v>
      </c>
      <c r="S343" t="str">
        <f>IF(EMP_RAW_Data[[#This Row],[Status]]=1,"Inactive","Active")</f>
        <v>Active</v>
      </c>
    </row>
    <row r="344" spans="1:19" hidden="1" x14ac:dyDescent="0.3">
      <c r="A344" s="1" t="s">
        <v>427</v>
      </c>
      <c r="B344" s="1" t="s">
        <v>49</v>
      </c>
      <c r="C344" s="1" t="s">
        <v>34</v>
      </c>
      <c r="D344" s="1" t="s">
        <v>35</v>
      </c>
      <c r="E344" s="1" t="s">
        <v>21</v>
      </c>
      <c r="F344">
        <v>55</v>
      </c>
      <c r="G344" t="s">
        <v>22</v>
      </c>
      <c r="H344" s="2">
        <v>40297</v>
      </c>
      <c r="I344">
        <v>111038</v>
      </c>
      <c r="J344">
        <v>0.05</v>
      </c>
      <c r="K344">
        <v>116589.9</v>
      </c>
      <c r="L344" s="1" t="s">
        <v>77</v>
      </c>
      <c r="M344" s="1" t="s">
        <v>148</v>
      </c>
      <c r="N344" s="2"/>
      <c r="O344">
        <v>343</v>
      </c>
      <c r="P344">
        <v>0</v>
      </c>
      <c r="Q344" t="s">
        <v>25</v>
      </c>
      <c r="R344">
        <f ca="1">DATEDIF(EMP_RAW_Data[[#This Row],[Hire Date]],IF(EMP_RAW_Data[[#This Row],[Exit Date]]="",TODAY(),EMP_RAW_Data[[#This Row],[Exit Date]]),"Y")</f>
        <v>15</v>
      </c>
      <c r="S344" t="str">
        <f>IF(EMP_RAW_Data[[#This Row],[Status]]=1,"Inactive","Active")</f>
        <v>Active</v>
      </c>
    </row>
    <row r="345" spans="1:19" hidden="1" x14ac:dyDescent="0.3">
      <c r="A345" s="1" t="s">
        <v>428</v>
      </c>
      <c r="B345" s="1" t="s">
        <v>68</v>
      </c>
      <c r="C345" s="1" t="s">
        <v>62</v>
      </c>
      <c r="D345" s="1" t="s">
        <v>20</v>
      </c>
      <c r="E345" s="1" t="s">
        <v>21</v>
      </c>
      <c r="F345">
        <v>51</v>
      </c>
      <c r="G345" t="s">
        <v>36</v>
      </c>
      <c r="H345" s="2">
        <v>35230</v>
      </c>
      <c r="I345">
        <v>200246</v>
      </c>
      <c r="J345">
        <v>0.34</v>
      </c>
      <c r="K345">
        <v>268329.64</v>
      </c>
      <c r="L345" s="1" t="s">
        <v>23</v>
      </c>
      <c r="M345" s="1" t="s">
        <v>74</v>
      </c>
      <c r="N345" s="2"/>
      <c r="O345">
        <v>344</v>
      </c>
      <c r="P345">
        <v>0</v>
      </c>
      <c r="Q345" t="s">
        <v>25</v>
      </c>
      <c r="R345">
        <f ca="1">DATEDIF(EMP_RAW_Data[[#This Row],[Hire Date]],IF(EMP_RAW_Data[[#This Row],[Exit Date]]="",TODAY(),EMP_RAW_Data[[#This Row],[Exit Date]]),"Y")</f>
        <v>29</v>
      </c>
      <c r="S345" t="str">
        <f>IF(EMP_RAW_Data[[#This Row],[Status]]=1,"Inactive","Active")</f>
        <v>Active</v>
      </c>
    </row>
    <row r="346" spans="1:19" hidden="1" x14ac:dyDescent="0.3">
      <c r="A346" s="1" t="s">
        <v>429</v>
      </c>
      <c r="B346" s="1" t="s">
        <v>68</v>
      </c>
      <c r="C346" s="1" t="s">
        <v>19</v>
      </c>
      <c r="D346" s="1" t="s">
        <v>47</v>
      </c>
      <c r="E346" s="1" t="s">
        <v>21</v>
      </c>
      <c r="F346">
        <v>48</v>
      </c>
      <c r="G346" t="s">
        <v>36</v>
      </c>
      <c r="H346" s="2">
        <v>42053</v>
      </c>
      <c r="I346">
        <v>194871</v>
      </c>
      <c r="J346">
        <v>0.35</v>
      </c>
      <c r="K346">
        <v>263075.84999999998</v>
      </c>
      <c r="L346" s="1" t="s">
        <v>23</v>
      </c>
      <c r="M346" s="1" t="s">
        <v>74</v>
      </c>
      <c r="N346" s="2"/>
      <c r="O346">
        <v>345</v>
      </c>
      <c r="P346">
        <v>0</v>
      </c>
      <c r="Q346" t="s">
        <v>25</v>
      </c>
      <c r="R346">
        <f ca="1">DATEDIF(EMP_RAW_Data[[#This Row],[Hire Date]],IF(EMP_RAW_Data[[#This Row],[Exit Date]]="",TODAY(),EMP_RAW_Data[[#This Row],[Exit Date]]),"Y")</f>
        <v>11</v>
      </c>
      <c r="S346" t="str">
        <f>IF(EMP_RAW_Data[[#This Row],[Status]]=1,"Inactive","Active")</f>
        <v>Active</v>
      </c>
    </row>
    <row r="347" spans="1:19" x14ac:dyDescent="0.3">
      <c r="A347" s="1" t="s">
        <v>430</v>
      </c>
      <c r="B347" s="1" t="s">
        <v>42</v>
      </c>
      <c r="C347" s="1" t="s">
        <v>54</v>
      </c>
      <c r="D347" s="1" t="s">
        <v>20</v>
      </c>
      <c r="E347" s="1" t="s">
        <v>29</v>
      </c>
      <c r="F347">
        <v>58</v>
      </c>
      <c r="G347" t="s">
        <v>22</v>
      </c>
      <c r="H347" s="2">
        <v>34592</v>
      </c>
      <c r="I347">
        <v>98769</v>
      </c>
      <c r="J347">
        <v>0</v>
      </c>
      <c r="K347">
        <v>98769</v>
      </c>
      <c r="L347" s="1" t="s">
        <v>77</v>
      </c>
      <c r="M347" s="1" t="s">
        <v>81</v>
      </c>
      <c r="N347" s="2">
        <v>42646</v>
      </c>
      <c r="O347">
        <v>346</v>
      </c>
      <c r="P347">
        <v>1</v>
      </c>
      <c r="Q347" t="s">
        <v>25</v>
      </c>
      <c r="R347">
        <f ca="1">DATEDIF(EMP_RAW_Data[[#This Row],[Hire Date]],IF(EMP_RAW_Data[[#This Row],[Exit Date]]="",TODAY(),EMP_RAW_Data[[#This Row],[Exit Date]]),"Y")</f>
        <v>22</v>
      </c>
      <c r="S347" t="str">
        <f>IF(EMP_RAW_Data[[#This Row],[Status]]=1,"Inactive","Active")</f>
        <v>Inactive</v>
      </c>
    </row>
    <row r="348" spans="1:19" hidden="1" x14ac:dyDescent="0.3">
      <c r="A348" s="1" t="s">
        <v>431</v>
      </c>
      <c r="B348" s="1" t="s">
        <v>45</v>
      </c>
      <c r="C348" s="1" t="s">
        <v>46</v>
      </c>
      <c r="D348" s="1" t="s">
        <v>20</v>
      </c>
      <c r="E348" s="1" t="s">
        <v>21</v>
      </c>
      <c r="F348">
        <v>29</v>
      </c>
      <c r="G348" t="s">
        <v>40</v>
      </c>
      <c r="H348" s="2">
        <v>43239</v>
      </c>
      <c r="I348">
        <v>65334</v>
      </c>
      <c r="J348">
        <v>0</v>
      </c>
      <c r="K348">
        <v>65334</v>
      </c>
      <c r="L348" s="1" t="s">
        <v>77</v>
      </c>
      <c r="M348" s="1" t="s">
        <v>81</v>
      </c>
      <c r="N348" s="2"/>
      <c r="O348">
        <v>347</v>
      </c>
      <c r="P348">
        <v>0</v>
      </c>
      <c r="Q348" t="s">
        <v>25</v>
      </c>
      <c r="R348">
        <f ca="1">DATEDIF(EMP_RAW_Data[[#This Row],[Hire Date]],IF(EMP_RAW_Data[[#This Row],[Exit Date]]="",TODAY(),EMP_RAW_Data[[#This Row],[Exit Date]]),"Y")</f>
        <v>7</v>
      </c>
      <c r="S348" t="str">
        <f>IF(EMP_RAW_Data[[#This Row],[Status]]=1,"Inactive","Active")</f>
        <v>Active</v>
      </c>
    </row>
    <row r="349" spans="1:19" hidden="1" x14ac:dyDescent="0.3">
      <c r="A349" s="1" t="s">
        <v>432</v>
      </c>
      <c r="B349" s="1" t="s">
        <v>27</v>
      </c>
      <c r="C349" s="1" t="s">
        <v>19</v>
      </c>
      <c r="D349" s="1" t="s">
        <v>28</v>
      </c>
      <c r="E349" s="1" t="s">
        <v>21</v>
      </c>
      <c r="F349">
        <v>25</v>
      </c>
      <c r="G349" t="s">
        <v>40</v>
      </c>
      <c r="H349" s="2">
        <v>44327</v>
      </c>
      <c r="I349">
        <v>83934</v>
      </c>
      <c r="J349">
        <v>0</v>
      </c>
      <c r="K349">
        <v>83934</v>
      </c>
      <c r="L349" s="1" t="s">
        <v>23</v>
      </c>
      <c r="M349" s="1" t="s">
        <v>52</v>
      </c>
      <c r="N349" s="2"/>
      <c r="O349">
        <v>348</v>
      </c>
      <c r="P349">
        <v>0</v>
      </c>
      <c r="Q349" t="s">
        <v>25</v>
      </c>
      <c r="R349">
        <f ca="1">DATEDIF(EMP_RAW_Data[[#This Row],[Hire Date]],IF(EMP_RAW_Data[[#This Row],[Exit Date]]="",TODAY(),EMP_RAW_Data[[#This Row],[Exit Date]]),"Y")</f>
        <v>4</v>
      </c>
      <c r="S349" t="str">
        <f>IF(EMP_RAW_Data[[#This Row],[Status]]=1,"Inactive","Active")</f>
        <v>Active</v>
      </c>
    </row>
    <row r="350" spans="1:19" hidden="1" x14ac:dyDescent="0.3">
      <c r="A350" s="1" t="s">
        <v>433</v>
      </c>
      <c r="B350" s="1" t="s">
        <v>33</v>
      </c>
      <c r="C350" s="1" t="s">
        <v>54</v>
      </c>
      <c r="D350" s="1" t="s">
        <v>20</v>
      </c>
      <c r="E350" s="1" t="s">
        <v>29</v>
      </c>
      <c r="F350">
        <v>36</v>
      </c>
      <c r="G350" t="s">
        <v>59</v>
      </c>
      <c r="H350" s="2">
        <v>42616</v>
      </c>
      <c r="I350">
        <v>150399</v>
      </c>
      <c r="J350">
        <v>0.28000000000000003</v>
      </c>
      <c r="K350">
        <v>192510.72</v>
      </c>
      <c r="L350" s="1" t="s">
        <v>23</v>
      </c>
      <c r="M350" s="1" t="s">
        <v>37</v>
      </c>
      <c r="N350" s="2"/>
      <c r="O350">
        <v>349</v>
      </c>
      <c r="P350">
        <v>0</v>
      </c>
      <c r="Q350" t="s">
        <v>25</v>
      </c>
      <c r="R350">
        <f ca="1">DATEDIF(EMP_RAW_Data[[#This Row],[Hire Date]],IF(EMP_RAW_Data[[#This Row],[Exit Date]]="",TODAY(),EMP_RAW_Data[[#This Row],[Exit Date]]),"Y")</f>
        <v>9</v>
      </c>
      <c r="S350" t="str">
        <f>IF(EMP_RAW_Data[[#This Row],[Status]]=1,"Inactive","Active")</f>
        <v>Active</v>
      </c>
    </row>
    <row r="351" spans="1:19" hidden="1" x14ac:dyDescent="0.3">
      <c r="A351" s="1" t="s">
        <v>434</v>
      </c>
      <c r="B351" s="1" t="s">
        <v>33</v>
      </c>
      <c r="C351" s="1" t="s">
        <v>58</v>
      </c>
      <c r="D351" s="1" t="s">
        <v>20</v>
      </c>
      <c r="E351" s="1" t="s">
        <v>29</v>
      </c>
      <c r="F351">
        <v>37</v>
      </c>
      <c r="G351" t="s">
        <v>59</v>
      </c>
      <c r="H351" s="2">
        <v>41048</v>
      </c>
      <c r="I351">
        <v>160280</v>
      </c>
      <c r="J351">
        <v>0.19</v>
      </c>
      <c r="K351">
        <v>190733.2</v>
      </c>
      <c r="L351" s="1" t="s">
        <v>30</v>
      </c>
      <c r="M351" s="1" t="s">
        <v>90</v>
      </c>
      <c r="N351" s="2"/>
      <c r="O351">
        <v>350</v>
      </c>
      <c r="P351">
        <v>0</v>
      </c>
      <c r="Q351" t="s">
        <v>25</v>
      </c>
      <c r="R351">
        <f ca="1">DATEDIF(EMP_RAW_Data[[#This Row],[Hire Date]],IF(EMP_RAW_Data[[#This Row],[Exit Date]]="",TODAY(),EMP_RAW_Data[[#This Row],[Exit Date]]),"Y")</f>
        <v>13</v>
      </c>
      <c r="S351" t="str">
        <f>IF(EMP_RAW_Data[[#This Row],[Status]]=1,"Inactive","Active")</f>
        <v>Active</v>
      </c>
    </row>
    <row r="352" spans="1:19" x14ac:dyDescent="0.3">
      <c r="A352" s="1" t="s">
        <v>435</v>
      </c>
      <c r="B352" s="1" t="s">
        <v>130</v>
      </c>
      <c r="C352" s="1" t="s">
        <v>58</v>
      </c>
      <c r="D352" s="1" t="s">
        <v>35</v>
      </c>
      <c r="E352" s="1" t="s">
        <v>29</v>
      </c>
      <c r="F352">
        <v>57</v>
      </c>
      <c r="G352" t="s">
        <v>22</v>
      </c>
      <c r="H352" s="2">
        <v>35548</v>
      </c>
      <c r="I352">
        <v>54051</v>
      </c>
      <c r="J352">
        <v>0</v>
      </c>
      <c r="K352">
        <v>54051</v>
      </c>
      <c r="L352" s="1" t="s">
        <v>23</v>
      </c>
      <c r="M352" s="1" t="s">
        <v>52</v>
      </c>
      <c r="N352" s="2">
        <v>36079</v>
      </c>
      <c r="O352">
        <v>351</v>
      </c>
      <c r="P352">
        <v>1</v>
      </c>
      <c r="Q352" t="s">
        <v>25</v>
      </c>
      <c r="R352">
        <f ca="1">DATEDIF(EMP_RAW_Data[[#This Row],[Hire Date]],IF(EMP_RAW_Data[[#This Row],[Exit Date]]="",TODAY(),EMP_RAW_Data[[#This Row],[Exit Date]]),"Y")</f>
        <v>1</v>
      </c>
      <c r="S352" t="str">
        <f>IF(EMP_RAW_Data[[#This Row],[Status]]=1,"Inactive","Active")</f>
        <v>Inactive</v>
      </c>
    </row>
    <row r="353" spans="1:19" hidden="1" x14ac:dyDescent="0.3">
      <c r="A353" s="1" t="s">
        <v>436</v>
      </c>
      <c r="B353" s="1" t="s">
        <v>33</v>
      </c>
      <c r="C353" s="1" t="s">
        <v>62</v>
      </c>
      <c r="D353" s="1" t="s">
        <v>20</v>
      </c>
      <c r="E353" s="1" t="s">
        <v>21</v>
      </c>
      <c r="F353">
        <v>59</v>
      </c>
      <c r="G353" t="s">
        <v>22</v>
      </c>
      <c r="H353" s="2">
        <v>37726</v>
      </c>
      <c r="I353">
        <v>150699</v>
      </c>
      <c r="J353">
        <v>0.28999999999999998</v>
      </c>
      <c r="K353">
        <v>194401.71</v>
      </c>
      <c r="L353" s="1" t="s">
        <v>77</v>
      </c>
      <c r="M353" s="1" t="s">
        <v>148</v>
      </c>
      <c r="N353" s="2"/>
      <c r="O353">
        <v>352</v>
      </c>
      <c r="P353">
        <v>0</v>
      </c>
      <c r="Q353" t="s">
        <v>25</v>
      </c>
      <c r="R353">
        <f ca="1">DATEDIF(EMP_RAW_Data[[#This Row],[Hire Date]],IF(EMP_RAW_Data[[#This Row],[Exit Date]]="",TODAY(),EMP_RAW_Data[[#This Row],[Exit Date]]),"Y")</f>
        <v>22</v>
      </c>
      <c r="S353" t="str">
        <f>IF(EMP_RAW_Data[[#This Row],[Status]]=1,"Inactive","Active")</f>
        <v>Active</v>
      </c>
    </row>
    <row r="354" spans="1:19" hidden="1" x14ac:dyDescent="0.3">
      <c r="A354" s="1" t="s">
        <v>437</v>
      </c>
      <c r="B354" s="1" t="s">
        <v>96</v>
      </c>
      <c r="C354" s="1" t="s">
        <v>69</v>
      </c>
      <c r="D354" s="1" t="s">
        <v>35</v>
      </c>
      <c r="E354" s="1" t="s">
        <v>29</v>
      </c>
      <c r="F354">
        <v>37</v>
      </c>
      <c r="G354" t="s">
        <v>59</v>
      </c>
      <c r="H354" s="2">
        <v>41363</v>
      </c>
      <c r="I354">
        <v>69570</v>
      </c>
      <c r="J354">
        <v>0</v>
      </c>
      <c r="K354">
        <v>69570</v>
      </c>
      <c r="L354" s="1" t="s">
        <v>23</v>
      </c>
      <c r="M354" s="1" t="s">
        <v>52</v>
      </c>
      <c r="N354" s="2"/>
      <c r="O354">
        <v>353</v>
      </c>
      <c r="P354">
        <v>0</v>
      </c>
      <c r="Q354" t="s">
        <v>25</v>
      </c>
      <c r="R354">
        <f ca="1">DATEDIF(EMP_RAW_Data[[#This Row],[Hire Date]],IF(EMP_RAW_Data[[#This Row],[Exit Date]]="",TODAY(),EMP_RAW_Data[[#This Row],[Exit Date]]),"Y")</f>
        <v>12</v>
      </c>
      <c r="S354" t="str">
        <f>IF(EMP_RAW_Data[[#This Row],[Status]]=1,"Inactive","Active")</f>
        <v>Active</v>
      </c>
    </row>
    <row r="355" spans="1:19" hidden="1" x14ac:dyDescent="0.3">
      <c r="A355" s="1" t="s">
        <v>438</v>
      </c>
      <c r="B355" s="1" t="s">
        <v>278</v>
      </c>
      <c r="C355" s="1" t="s">
        <v>19</v>
      </c>
      <c r="D355" s="1" t="s">
        <v>28</v>
      </c>
      <c r="E355" s="1" t="s">
        <v>21</v>
      </c>
      <c r="F355">
        <v>30</v>
      </c>
      <c r="G355" t="s">
        <v>40</v>
      </c>
      <c r="H355" s="2">
        <v>43553</v>
      </c>
      <c r="I355">
        <v>86774</v>
      </c>
      <c r="J355">
        <v>0</v>
      </c>
      <c r="K355">
        <v>86774</v>
      </c>
      <c r="L355" s="1" t="s">
        <v>30</v>
      </c>
      <c r="M355" s="1" t="s">
        <v>102</v>
      </c>
      <c r="N355" s="2"/>
      <c r="O355">
        <v>354</v>
      </c>
      <c r="P355">
        <v>0</v>
      </c>
      <c r="Q355" t="s">
        <v>25</v>
      </c>
      <c r="R355">
        <f ca="1">DATEDIF(EMP_RAW_Data[[#This Row],[Hire Date]],IF(EMP_RAW_Data[[#This Row],[Exit Date]]="",TODAY(),EMP_RAW_Data[[#This Row],[Exit Date]]),"Y")</f>
        <v>6</v>
      </c>
      <c r="S355" t="str">
        <f>IF(EMP_RAW_Data[[#This Row],[Status]]=1,"Inactive","Active")</f>
        <v>Active</v>
      </c>
    </row>
    <row r="356" spans="1:19" hidden="1" x14ac:dyDescent="0.3">
      <c r="A356" s="1" t="s">
        <v>439</v>
      </c>
      <c r="B356" s="1" t="s">
        <v>118</v>
      </c>
      <c r="C356" s="1" t="s">
        <v>58</v>
      </c>
      <c r="D356" s="1" t="s">
        <v>28</v>
      </c>
      <c r="E356" s="1" t="s">
        <v>29</v>
      </c>
      <c r="F356">
        <v>49</v>
      </c>
      <c r="G356" t="s">
        <v>36</v>
      </c>
      <c r="H356" s="2">
        <v>36979</v>
      </c>
      <c r="I356">
        <v>57606</v>
      </c>
      <c r="J356">
        <v>0</v>
      </c>
      <c r="K356">
        <v>57606</v>
      </c>
      <c r="L356" s="1" t="s">
        <v>23</v>
      </c>
      <c r="M356" s="1" t="s">
        <v>52</v>
      </c>
      <c r="N356" s="2"/>
      <c r="O356">
        <v>355</v>
      </c>
      <c r="P356">
        <v>0</v>
      </c>
      <c r="Q356" t="s">
        <v>25</v>
      </c>
      <c r="R356">
        <f ca="1">DATEDIF(EMP_RAW_Data[[#This Row],[Hire Date]],IF(EMP_RAW_Data[[#This Row],[Exit Date]]="",TODAY(),EMP_RAW_Data[[#This Row],[Exit Date]]),"Y")</f>
        <v>24</v>
      </c>
      <c r="S356" t="str">
        <f>IF(EMP_RAW_Data[[#This Row],[Status]]=1,"Inactive","Active")</f>
        <v>Active</v>
      </c>
    </row>
    <row r="357" spans="1:19" hidden="1" x14ac:dyDescent="0.3">
      <c r="A357" s="1" t="s">
        <v>440</v>
      </c>
      <c r="B357" s="1" t="s">
        <v>18</v>
      </c>
      <c r="C357" s="1" t="s">
        <v>34</v>
      </c>
      <c r="D357" s="1" t="s">
        <v>47</v>
      </c>
      <c r="E357" s="1" t="s">
        <v>21</v>
      </c>
      <c r="F357">
        <v>48</v>
      </c>
      <c r="G357" t="s">
        <v>36</v>
      </c>
      <c r="H357" s="2">
        <v>37144</v>
      </c>
      <c r="I357">
        <v>125730</v>
      </c>
      <c r="J357">
        <v>0.11</v>
      </c>
      <c r="K357">
        <v>139560.29999999999</v>
      </c>
      <c r="L357" s="1" t="s">
        <v>30</v>
      </c>
      <c r="M357" s="1" t="s">
        <v>31</v>
      </c>
      <c r="N357" s="2"/>
      <c r="O357">
        <v>356</v>
      </c>
      <c r="P357">
        <v>0</v>
      </c>
      <c r="Q357" t="s">
        <v>25</v>
      </c>
      <c r="R357">
        <f ca="1">DATEDIF(EMP_RAW_Data[[#This Row],[Hire Date]],IF(EMP_RAW_Data[[#This Row],[Exit Date]]="",TODAY(),EMP_RAW_Data[[#This Row],[Exit Date]]),"Y")</f>
        <v>24</v>
      </c>
      <c r="S357" t="str">
        <f>IF(EMP_RAW_Data[[#This Row],[Status]]=1,"Inactive","Active")</f>
        <v>Active</v>
      </c>
    </row>
    <row r="358" spans="1:19" hidden="1" x14ac:dyDescent="0.3">
      <c r="A358" s="1" t="s">
        <v>441</v>
      </c>
      <c r="B358" s="1" t="s">
        <v>192</v>
      </c>
      <c r="C358" s="1" t="s">
        <v>19</v>
      </c>
      <c r="D358" s="1" t="s">
        <v>20</v>
      </c>
      <c r="E358" s="1" t="s">
        <v>21</v>
      </c>
      <c r="F358">
        <v>51</v>
      </c>
      <c r="G358" t="s">
        <v>36</v>
      </c>
      <c r="H358" s="2">
        <v>40964</v>
      </c>
      <c r="I358">
        <v>64170</v>
      </c>
      <c r="J358">
        <v>0</v>
      </c>
      <c r="K358">
        <v>64170</v>
      </c>
      <c r="L358" s="1" t="s">
        <v>23</v>
      </c>
      <c r="M358" s="1" t="s">
        <v>74</v>
      </c>
      <c r="N358" s="2"/>
      <c r="O358">
        <v>357</v>
      </c>
      <c r="P358">
        <v>0</v>
      </c>
      <c r="Q358" t="s">
        <v>25</v>
      </c>
      <c r="R358">
        <f ca="1">DATEDIF(EMP_RAW_Data[[#This Row],[Hire Date]],IF(EMP_RAW_Data[[#This Row],[Exit Date]]="",TODAY(),EMP_RAW_Data[[#This Row],[Exit Date]]),"Y")</f>
        <v>14</v>
      </c>
      <c r="S358" t="str">
        <f>IF(EMP_RAW_Data[[#This Row],[Status]]=1,"Inactive","Active")</f>
        <v>Active</v>
      </c>
    </row>
    <row r="359" spans="1:19" hidden="1" x14ac:dyDescent="0.3">
      <c r="A359" s="1" t="s">
        <v>442</v>
      </c>
      <c r="B359" s="1" t="s">
        <v>107</v>
      </c>
      <c r="C359" s="1" t="s">
        <v>58</v>
      </c>
      <c r="D359" s="1" t="s">
        <v>35</v>
      </c>
      <c r="E359" s="1" t="s">
        <v>29</v>
      </c>
      <c r="F359">
        <v>56</v>
      </c>
      <c r="G359" t="s">
        <v>22</v>
      </c>
      <c r="H359" s="2">
        <v>35816</v>
      </c>
      <c r="I359">
        <v>72303</v>
      </c>
      <c r="J359">
        <v>0</v>
      </c>
      <c r="K359">
        <v>72303</v>
      </c>
      <c r="L359" s="1" t="s">
        <v>23</v>
      </c>
      <c r="M359" s="1" t="s">
        <v>43</v>
      </c>
      <c r="N359" s="2"/>
      <c r="O359">
        <v>358</v>
      </c>
      <c r="P359">
        <v>0</v>
      </c>
      <c r="Q359" t="s">
        <v>25</v>
      </c>
      <c r="R359">
        <f ca="1">DATEDIF(EMP_RAW_Data[[#This Row],[Hire Date]],IF(EMP_RAW_Data[[#This Row],[Exit Date]]="",TODAY(),EMP_RAW_Data[[#This Row],[Exit Date]]),"Y")</f>
        <v>28</v>
      </c>
      <c r="S359" t="str">
        <f>IF(EMP_RAW_Data[[#This Row],[Status]]=1,"Inactive","Active")</f>
        <v>Active</v>
      </c>
    </row>
    <row r="360" spans="1:19" hidden="1" x14ac:dyDescent="0.3">
      <c r="A360" s="1" t="s">
        <v>443</v>
      </c>
      <c r="B360" s="1" t="s">
        <v>49</v>
      </c>
      <c r="C360" s="1" t="s">
        <v>46</v>
      </c>
      <c r="D360" s="1" t="s">
        <v>20</v>
      </c>
      <c r="E360" s="1" t="s">
        <v>29</v>
      </c>
      <c r="F360">
        <v>36</v>
      </c>
      <c r="G360" t="s">
        <v>59</v>
      </c>
      <c r="H360" s="2">
        <v>41116</v>
      </c>
      <c r="I360">
        <v>105891</v>
      </c>
      <c r="J360">
        <v>7.0000000000000007E-2</v>
      </c>
      <c r="K360">
        <v>113303.37</v>
      </c>
      <c r="L360" s="1" t="s">
        <v>23</v>
      </c>
      <c r="M360" s="1" t="s">
        <v>24</v>
      </c>
      <c r="N360" s="2"/>
      <c r="O360">
        <v>359</v>
      </c>
      <c r="P360">
        <v>0</v>
      </c>
      <c r="Q360" t="s">
        <v>25</v>
      </c>
      <c r="R360">
        <f ca="1">DATEDIF(EMP_RAW_Data[[#This Row],[Hire Date]],IF(EMP_RAW_Data[[#This Row],[Exit Date]]="",TODAY(),EMP_RAW_Data[[#This Row],[Exit Date]]),"Y")</f>
        <v>13</v>
      </c>
      <c r="S360" t="str">
        <f>IF(EMP_RAW_Data[[#This Row],[Status]]=1,"Inactive","Active")</f>
        <v>Active</v>
      </c>
    </row>
    <row r="361" spans="1:19" hidden="1" x14ac:dyDescent="0.3">
      <c r="A361" s="1" t="s">
        <v>444</v>
      </c>
      <c r="B361" s="1" t="s">
        <v>68</v>
      </c>
      <c r="C361" s="1" t="s">
        <v>69</v>
      </c>
      <c r="D361" s="1" t="s">
        <v>35</v>
      </c>
      <c r="E361" s="1" t="s">
        <v>29</v>
      </c>
      <c r="F361">
        <v>38</v>
      </c>
      <c r="G361" t="s">
        <v>59</v>
      </c>
      <c r="H361" s="2">
        <v>44433</v>
      </c>
      <c r="I361">
        <v>255230</v>
      </c>
      <c r="J361">
        <v>0.36</v>
      </c>
      <c r="K361">
        <v>347112.8</v>
      </c>
      <c r="L361" s="1" t="s">
        <v>23</v>
      </c>
      <c r="M361" s="1" t="s">
        <v>55</v>
      </c>
      <c r="N361" s="2"/>
      <c r="O361">
        <v>360</v>
      </c>
      <c r="P361">
        <v>0</v>
      </c>
      <c r="Q361" t="s">
        <v>25</v>
      </c>
      <c r="R361">
        <f ca="1">DATEDIF(EMP_RAW_Data[[#This Row],[Hire Date]],IF(EMP_RAW_Data[[#This Row],[Exit Date]]="",TODAY(),EMP_RAW_Data[[#This Row],[Exit Date]]),"Y")</f>
        <v>4</v>
      </c>
      <c r="S361" t="str">
        <f>IF(EMP_RAW_Data[[#This Row],[Status]]=1,"Inactive","Active")</f>
        <v>Active</v>
      </c>
    </row>
    <row r="362" spans="1:19" hidden="1" x14ac:dyDescent="0.3">
      <c r="A362" s="1" t="s">
        <v>445</v>
      </c>
      <c r="B362" s="1" t="s">
        <v>96</v>
      </c>
      <c r="C362" s="1" t="s">
        <v>46</v>
      </c>
      <c r="D362" s="1" t="s">
        <v>28</v>
      </c>
      <c r="E362" s="1" t="s">
        <v>21</v>
      </c>
      <c r="F362">
        <v>56</v>
      </c>
      <c r="G362" t="s">
        <v>22</v>
      </c>
      <c r="H362" s="2">
        <v>33770</v>
      </c>
      <c r="I362">
        <v>59591</v>
      </c>
      <c r="J362">
        <v>0</v>
      </c>
      <c r="K362">
        <v>59591</v>
      </c>
      <c r="L362" s="1" t="s">
        <v>77</v>
      </c>
      <c r="M362" s="1" t="s">
        <v>148</v>
      </c>
      <c r="N362" s="2"/>
      <c r="O362">
        <v>361</v>
      </c>
      <c r="P362">
        <v>0</v>
      </c>
      <c r="Q362" t="s">
        <v>25</v>
      </c>
      <c r="R362">
        <f ca="1">DATEDIF(EMP_RAW_Data[[#This Row],[Hire Date]],IF(EMP_RAW_Data[[#This Row],[Exit Date]]="",TODAY(),EMP_RAW_Data[[#This Row],[Exit Date]]),"Y")</f>
        <v>33</v>
      </c>
      <c r="S362" t="str">
        <f>IF(EMP_RAW_Data[[#This Row],[Status]]=1,"Inactive","Active")</f>
        <v>Active</v>
      </c>
    </row>
    <row r="363" spans="1:19" hidden="1" x14ac:dyDescent="0.3">
      <c r="A363" s="1" t="s">
        <v>446</v>
      </c>
      <c r="B363" s="1" t="s">
        <v>68</v>
      </c>
      <c r="C363" s="1" t="s">
        <v>58</v>
      </c>
      <c r="D363" s="1" t="s">
        <v>28</v>
      </c>
      <c r="E363" s="1" t="s">
        <v>21</v>
      </c>
      <c r="F363">
        <v>52</v>
      </c>
      <c r="G363" t="s">
        <v>36</v>
      </c>
      <c r="H363" s="2">
        <v>41113</v>
      </c>
      <c r="I363">
        <v>187048</v>
      </c>
      <c r="J363">
        <v>0.32</v>
      </c>
      <c r="K363">
        <v>246903.36</v>
      </c>
      <c r="L363" s="1" t="s">
        <v>30</v>
      </c>
      <c r="M363" s="1" t="s">
        <v>102</v>
      </c>
      <c r="N363" s="2"/>
      <c r="O363">
        <v>362</v>
      </c>
      <c r="P363">
        <v>0</v>
      </c>
      <c r="Q363" t="s">
        <v>25</v>
      </c>
      <c r="R363">
        <f ca="1">DATEDIF(EMP_RAW_Data[[#This Row],[Hire Date]],IF(EMP_RAW_Data[[#This Row],[Exit Date]]="",TODAY(),EMP_RAW_Data[[#This Row],[Exit Date]]),"Y")</f>
        <v>13</v>
      </c>
      <c r="S363" t="str">
        <f>IF(EMP_RAW_Data[[#This Row],[Status]]=1,"Inactive","Active")</f>
        <v>Active</v>
      </c>
    </row>
    <row r="364" spans="1:19" hidden="1" x14ac:dyDescent="0.3">
      <c r="A364" s="1" t="s">
        <v>447</v>
      </c>
      <c r="B364" s="1" t="s">
        <v>96</v>
      </c>
      <c r="C364" s="1" t="s">
        <v>34</v>
      </c>
      <c r="D364" s="1" t="s">
        <v>35</v>
      </c>
      <c r="E364" s="1" t="s">
        <v>21</v>
      </c>
      <c r="F364">
        <v>53</v>
      </c>
      <c r="G364" t="s">
        <v>36</v>
      </c>
      <c r="H364" s="2">
        <v>37296</v>
      </c>
      <c r="I364">
        <v>58605</v>
      </c>
      <c r="J364">
        <v>0</v>
      </c>
      <c r="K364">
        <v>58605</v>
      </c>
      <c r="L364" s="1" t="s">
        <v>23</v>
      </c>
      <c r="M364" s="1" t="s">
        <v>43</v>
      </c>
      <c r="N364" s="2"/>
      <c r="O364">
        <v>363</v>
      </c>
      <c r="P364">
        <v>0</v>
      </c>
      <c r="Q364" t="s">
        <v>25</v>
      </c>
      <c r="R364">
        <f ca="1">DATEDIF(EMP_RAW_Data[[#This Row],[Hire Date]],IF(EMP_RAW_Data[[#This Row],[Exit Date]]="",TODAY(),EMP_RAW_Data[[#This Row],[Exit Date]]),"Y")</f>
        <v>24</v>
      </c>
      <c r="S364" t="str">
        <f>IF(EMP_RAW_Data[[#This Row],[Status]]=1,"Inactive","Active")</f>
        <v>Active</v>
      </c>
    </row>
    <row r="365" spans="1:19" hidden="1" x14ac:dyDescent="0.3">
      <c r="A365" s="1" t="s">
        <v>448</v>
      </c>
      <c r="B365" s="1" t="s">
        <v>33</v>
      </c>
      <c r="C365" s="1" t="s">
        <v>62</v>
      </c>
      <c r="D365" s="1" t="s">
        <v>47</v>
      </c>
      <c r="E365" s="1" t="s">
        <v>21</v>
      </c>
      <c r="F365">
        <v>60</v>
      </c>
      <c r="G365" t="s">
        <v>22</v>
      </c>
      <c r="H365" s="2">
        <v>42739</v>
      </c>
      <c r="I365">
        <v>178502</v>
      </c>
      <c r="J365">
        <v>0.2</v>
      </c>
      <c r="K365">
        <v>214202.4</v>
      </c>
      <c r="L365" s="1" t="s">
        <v>23</v>
      </c>
      <c r="M365" s="1" t="s">
        <v>55</v>
      </c>
      <c r="N365" s="2"/>
      <c r="O365">
        <v>364</v>
      </c>
      <c r="P365">
        <v>0</v>
      </c>
      <c r="Q365" t="s">
        <v>25</v>
      </c>
      <c r="R365">
        <f ca="1">DATEDIF(EMP_RAW_Data[[#This Row],[Hire Date]],IF(EMP_RAW_Data[[#This Row],[Exit Date]]="",TODAY(),EMP_RAW_Data[[#This Row],[Exit Date]]),"Y")</f>
        <v>9</v>
      </c>
      <c r="S365" t="str">
        <f>IF(EMP_RAW_Data[[#This Row],[Status]]=1,"Inactive","Active")</f>
        <v>Active</v>
      </c>
    </row>
    <row r="366" spans="1:19" hidden="1" x14ac:dyDescent="0.3">
      <c r="A366" s="1" t="s">
        <v>449</v>
      </c>
      <c r="B366" s="1" t="s">
        <v>49</v>
      </c>
      <c r="C366" s="1" t="s">
        <v>54</v>
      </c>
      <c r="D366" s="1" t="s">
        <v>35</v>
      </c>
      <c r="E366" s="1" t="s">
        <v>29</v>
      </c>
      <c r="F366">
        <v>63</v>
      </c>
      <c r="G366" t="s">
        <v>22</v>
      </c>
      <c r="H366" s="2">
        <v>42214</v>
      </c>
      <c r="I366">
        <v>103724</v>
      </c>
      <c r="J366">
        <v>0.05</v>
      </c>
      <c r="K366">
        <v>108910.2</v>
      </c>
      <c r="L366" s="1" t="s">
        <v>30</v>
      </c>
      <c r="M366" s="1" t="s">
        <v>65</v>
      </c>
      <c r="N366" s="2"/>
      <c r="O366">
        <v>365</v>
      </c>
      <c r="P366">
        <v>0</v>
      </c>
      <c r="Q366" t="s">
        <v>25</v>
      </c>
      <c r="R366">
        <f ca="1">DATEDIF(EMP_RAW_Data[[#This Row],[Hire Date]],IF(EMP_RAW_Data[[#This Row],[Exit Date]]="",TODAY(),EMP_RAW_Data[[#This Row],[Exit Date]]),"Y")</f>
        <v>10</v>
      </c>
      <c r="S366" t="str">
        <f>IF(EMP_RAW_Data[[#This Row],[Status]]=1,"Inactive","Active")</f>
        <v>Active</v>
      </c>
    </row>
    <row r="367" spans="1:19" hidden="1" x14ac:dyDescent="0.3">
      <c r="A367" s="1" t="s">
        <v>450</v>
      </c>
      <c r="B367" s="1" t="s">
        <v>33</v>
      </c>
      <c r="C367" s="1" t="s">
        <v>62</v>
      </c>
      <c r="D367" s="1" t="s">
        <v>20</v>
      </c>
      <c r="E367" s="1" t="s">
        <v>21</v>
      </c>
      <c r="F367">
        <v>37</v>
      </c>
      <c r="G367" t="s">
        <v>59</v>
      </c>
      <c r="H367" s="2">
        <v>39528</v>
      </c>
      <c r="I367">
        <v>156277</v>
      </c>
      <c r="J367">
        <v>0.22</v>
      </c>
      <c r="K367">
        <v>190657.94</v>
      </c>
      <c r="L367" s="1" t="s">
        <v>77</v>
      </c>
      <c r="M367" s="1" t="s">
        <v>78</v>
      </c>
      <c r="N367" s="2"/>
      <c r="O367">
        <v>366</v>
      </c>
      <c r="P367">
        <v>0</v>
      </c>
      <c r="Q367" t="s">
        <v>25</v>
      </c>
      <c r="R367">
        <f ca="1">DATEDIF(EMP_RAW_Data[[#This Row],[Hire Date]],IF(EMP_RAW_Data[[#This Row],[Exit Date]]="",TODAY(),EMP_RAW_Data[[#This Row],[Exit Date]]),"Y")</f>
        <v>17</v>
      </c>
      <c r="S367" t="str">
        <f>IF(EMP_RAW_Data[[#This Row],[Status]]=1,"Inactive","Active")</f>
        <v>Active</v>
      </c>
    </row>
    <row r="368" spans="1:19" hidden="1" x14ac:dyDescent="0.3">
      <c r="A368" s="1" t="s">
        <v>451</v>
      </c>
      <c r="B368" s="1" t="s">
        <v>124</v>
      </c>
      <c r="C368" s="1" t="s">
        <v>62</v>
      </c>
      <c r="D368" s="1" t="s">
        <v>20</v>
      </c>
      <c r="E368" s="1" t="s">
        <v>21</v>
      </c>
      <c r="F368">
        <v>30</v>
      </c>
      <c r="G368" t="s">
        <v>40</v>
      </c>
      <c r="H368" s="2">
        <v>43086</v>
      </c>
      <c r="I368">
        <v>87744</v>
      </c>
      <c r="J368">
        <v>0</v>
      </c>
      <c r="K368">
        <v>87744</v>
      </c>
      <c r="L368" s="1" t="s">
        <v>77</v>
      </c>
      <c r="M368" s="1" t="s">
        <v>148</v>
      </c>
      <c r="N368" s="2"/>
      <c r="O368">
        <v>367</v>
      </c>
      <c r="P368">
        <v>0</v>
      </c>
      <c r="Q368" t="s">
        <v>25</v>
      </c>
      <c r="R368">
        <f ca="1">DATEDIF(EMP_RAW_Data[[#This Row],[Hire Date]],IF(EMP_RAW_Data[[#This Row],[Exit Date]]="",TODAY(),EMP_RAW_Data[[#This Row],[Exit Date]]),"Y")</f>
        <v>8</v>
      </c>
      <c r="S368" t="str">
        <f>IF(EMP_RAW_Data[[#This Row],[Status]]=1,"Inactive","Active")</f>
        <v>Active</v>
      </c>
    </row>
    <row r="369" spans="1:19" hidden="1" x14ac:dyDescent="0.3">
      <c r="A369" s="1" t="s">
        <v>452</v>
      </c>
      <c r="B369" s="1" t="s">
        <v>96</v>
      </c>
      <c r="C369" s="1" t="s">
        <v>34</v>
      </c>
      <c r="D369" s="1" t="s">
        <v>28</v>
      </c>
      <c r="E369" s="1" t="s">
        <v>29</v>
      </c>
      <c r="F369">
        <v>30</v>
      </c>
      <c r="G369" t="s">
        <v>40</v>
      </c>
      <c r="H369" s="2">
        <v>43542</v>
      </c>
      <c r="I369">
        <v>54714</v>
      </c>
      <c r="J369">
        <v>0</v>
      </c>
      <c r="K369">
        <v>54714</v>
      </c>
      <c r="L369" s="1" t="s">
        <v>23</v>
      </c>
      <c r="M369" s="1" t="s">
        <v>74</v>
      </c>
      <c r="N369" s="2"/>
      <c r="O369">
        <v>368</v>
      </c>
      <c r="P369">
        <v>0</v>
      </c>
      <c r="Q369" t="s">
        <v>25</v>
      </c>
      <c r="R369">
        <f ca="1">DATEDIF(EMP_RAW_Data[[#This Row],[Hire Date]],IF(EMP_RAW_Data[[#This Row],[Exit Date]]="",TODAY(),EMP_RAW_Data[[#This Row],[Exit Date]]),"Y")</f>
        <v>6</v>
      </c>
      <c r="S369" t="str">
        <f>IF(EMP_RAW_Data[[#This Row],[Status]]=1,"Inactive","Active")</f>
        <v>Active</v>
      </c>
    </row>
    <row r="370" spans="1:19" hidden="1" x14ac:dyDescent="0.3">
      <c r="A370" s="1" t="s">
        <v>453</v>
      </c>
      <c r="B370" s="1" t="s">
        <v>100</v>
      </c>
      <c r="C370" s="1" t="s">
        <v>19</v>
      </c>
      <c r="D370" s="1" t="s">
        <v>47</v>
      </c>
      <c r="E370" s="1" t="s">
        <v>21</v>
      </c>
      <c r="F370">
        <v>45</v>
      </c>
      <c r="G370" t="s">
        <v>36</v>
      </c>
      <c r="H370" s="2">
        <v>41511</v>
      </c>
      <c r="I370">
        <v>99169</v>
      </c>
      <c r="J370">
        <v>0</v>
      </c>
      <c r="K370">
        <v>99169</v>
      </c>
      <c r="L370" s="1" t="s">
        <v>30</v>
      </c>
      <c r="M370" s="1" t="s">
        <v>90</v>
      </c>
      <c r="N370" s="2"/>
      <c r="O370">
        <v>369</v>
      </c>
      <c r="P370">
        <v>0</v>
      </c>
      <c r="Q370" t="s">
        <v>25</v>
      </c>
      <c r="R370">
        <f ca="1">DATEDIF(EMP_RAW_Data[[#This Row],[Hire Date]],IF(EMP_RAW_Data[[#This Row],[Exit Date]]="",TODAY(),EMP_RAW_Data[[#This Row],[Exit Date]]),"Y")</f>
        <v>12</v>
      </c>
      <c r="S370" t="str">
        <f>IF(EMP_RAW_Data[[#This Row],[Status]]=1,"Inactive","Active")</f>
        <v>Active</v>
      </c>
    </row>
    <row r="371" spans="1:19" hidden="1" x14ac:dyDescent="0.3">
      <c r="A371" s="1" t="s">
        <v>454</v>
      </c>
      <c r="B371" s="1" t="s">
        <v>18</v>
      </c>
      <c r="C371" s="1" t="s">
        <v>54</v>
      </c>
      <c r="D371" s="1" t="s">
        <v>20</v>
      </c>
      <c r="E371" s="1" t="s">
        <v>21</v>
      </c>
      <c r="F371">
        <v>55</v>
      </c>
      <c r="G371" t="s">
        <v>22</v>
      </c>
      <c r="H371" s="2">
        <v>38888</v>
      </c>
      <c r="I371">
        <v>142628</v>
      </c>
      <c r="J371">
        <v>0.12</v>
      </c>
      <c r="K371">
        <v>159743.35999999999</v>
      </c>
      <c r="L371" s="1" t="s">
        <v>30</v>
      </c>
      <c r="M371" s="1" t="s">
        <v>31</v>
      </c>
      <c r="N371" s="2"/>
      <c r="O371">
        <v>370</v>
      </c>
      <c r="P371">
        <v>0</v>
      </c>
      <c r="Q371" t="s">
        <v>25</v>
      </c>
      <c r="R371">
        <f ca="1">DATEDIF(EMP_RAW_Data[[#This Row],[Hire Date]],IF(EMP_RAW_Data[[#This Row],[Exit Date]]="",TODAY(),EMP_RAW_Data[[#This Row],[Exit Date]]),"Y")</f>
        <v>19</v>
      </c>
      <c r="S371" t="str">
        <f>IF(EMP_RAW_Data[[#This Row],[Status]]=1,"Inactive","Active")</f>
        <v>Active</v>
      </c>
    </row>
    <row r="372" spans="1:19" hidden="1" x14ac:dyDescent="0.3">
      <c r="A372" s="1" t="s">
        <v>455</v>
      </c>
      <c r="B372" s="1" t="s">
        <v>42</v>
      </c>
      <c r="C372" s="1" t="s">
        <v>69</v>
      </c>
      <c r="D372" s="1" t="s">
        <v>28</v>
      </c>
      <c r="E372" s="1" t="s">
        <v>21</v>
      </c>
      <c r="F372">
        <v>33</v>
      </c>
      <c r="G372" t="s">
        <v>40</v>
      </c>
      <c r="H372" s="2">
        <v>41756</v>
      </c>
      <c r="I372">
        <v>75869</v>
      </c>
      <c r="J372">
        <v>0</v>
      </c>
      <c r="K372">
        <v>75869</v>
      </c>
      <c r="L372" s="1" t="s">
        <v>77</v>
      </c>
      <c r="M372" s="1" t="s">
        <v>148</v>
      </c>
      <c r="N372" s="2"/>
      <c r="O372">
        <v>371</v>
      </c>
      <c r="P372">
        <v>0</v>
      </c>
      <c r="Q372" t="s">
        <v>25</v>
      </c>
      <c r="R372">
        <f ca="1">DATEDIF(EMP_RAW_Data[[#This Row],[Hire Date]],IF(EMP_RAW_Data[[#This Row],[Exit Date]]="",TODAY(),EMP_RAW_Data[[#This Row],[Exit Date]]),"Y")</f>
        <v>11</v>
      </c>
      <c r="S372" t="str">
        <f>IF(EMP_RAW_Data[[#This Row],[Status]]=1,"Inactive","Active")</f>
        <v>Active</v>
      </c>
    </row>
    <row r="373" spans="1:19" hidden="1" x14ac:dyDescent="0.3">
      <c r="A373" s="1" t="s">
        <v>456</v>
      </c>
      <c r="B373" s="1" t="s">
        <v>164</v>
      </c>
      <c r="C373" s="1" t="s">
        <v>19</v>
      </c>
      <c r="D373" s="1" t="s">
        <v>28</v>
      </c>
      <c r="E373" s="1" t="s">
        <v>21</v>
      </c>
      <c r="F373">
        <v>65</v>
      </c>
      <c r="G373" t="s">
        <v>71</v>
      </c>
      <c r="H373" s="2">
        <v>43234</v>
      </c>
      <c r="I373">
        <v>60985</v>
      </c>
      <c r="J373">
        <v>0</v>
      </c>
      <c r="K373">
        <v>60985</v>
      </c>
      <c r="L373" s="1" t="s">
        <v>23</v>
      </c>
      <c r="M373" s="1" t="s">
        <v>24</v>
      </c>
      <c r="N373" s="2"/>
      <c r="O373">
        <v>372</v>
      </c>
      <c r="P373">
        <v>0</v>
      </c>
      <c r="Q373" t="s">
        <v>25</v>
      </c>
      <c r="R373">
        <f ca="1">DATEDIF(EMP_RAW_Data[[#This Row],[Hire Date]],IF(EMP_RAW_Data[[#This Row],[Exit Date]]="",TODAY(),EMP_RAW_Data[[#This Row],[Exit Date]]),"Y")</f>
        <v>7</v>
      </c>
      <c r="S373" t="str">
        <f>IF(EMP_RAW_Data[[#This Row],[Status]]=1,"Inactive","Active")</f>
        <v>Active</v>
      </c>
    </row>
    <row r="374" spans="1:19" hidden="1" x14ac:dyDescent="0.3">
      <c r="A374" s="1" t="s">
        <v>457</v>
      </c>
      <c r="B374" s="1" t="s">
        <v>18</v>
      </c>
      <c r="C374" s="1" t="s">
        <v>19</v>
      </c>
      <c r="D374" s="1" t="s">
        <v>20</v>
      </c>
      <c r="E374" s="1" t="s">
        <v>21</v>
      </c>
      <c r="F374">
        <v>60</v>
      </c>
      <c r="G374" t="s">
        <v>22</v>
      </c>
      <c r="H374" s="2">
        <v>40383</v>
      </c>
      <c r="I374">
        <v>126911</v>
      </c>
      <c r="J374">
        <v>0.1</v>
      </c>
      <c r="K374">
        <v>139602.1</v>
      </c>
      <c r="L374" s="1" t="s">
        <v>30</v>
      </c>
      <c r="M374" s="1" t="s">
        <v>65</v>
      </c>
      <c r="N374" s="2"/>
      <c r="O374">
        <v>373</v>
      </c>
      <c r="P374">
        <v>0</v>
      </c>
      <c r="Q374" t="s">
        <v>25</v>
      </c>
      <c r="R374">
        <f ca="1">DATEDIF(EMP_RAW_Data[[#This Row],[Hire Date]],IF(EMP_RAW_Data[[#This Row],[Exit Date]]="",TODAY(),EMP_RAW_Data[[#This Row],[Exit Date]]),"Y")</f>
        <v>15</v>
      </c>
      <c r="S374" t="str">
        <f>IF(EMP_RAW_Data[[#This Row],[Status]]=1,"Inactive","Active")</f>
        <v>Active</v>
      </c>
    </row>
    <row r="375" spans="1:19" hidden="1" x14ac:dyDescent="0.3">
      <c r="A375" s="1" t="s">
        <v>458</v>
      </c>
      <c r="B375" s="1" t="s">
        <v>68</v>
      </c>
      <c r="C375" s="1" t="s">
        <v>46</v>
      </c>
      <c r="D375" s="1" t="s">
        <v>20</v>
      </c>
      <c r="E375" s="1" t="s">
        <v>29</v>
      </c>
      <c r="F375">
        <v>56</v>
      </c>
      <c r="G375" t="s">
        <v>22</v>
      </c>
      <c r="H375" s="2">
        <v>38042</v>
      </c>
      <c r="I375">
        <v>216949</v>
      </c>
      <c r="J375">
        <v>0.32</v>
      </c>
      <c r="K375">
        <v>286372.68</v>
      </c>
      <c r="L375" s="1" t="s">
        <v>30</v>
      </c>
      <c r="M375" s="1" t="s">
        <v>65</v>
      </c>
      <c r="N375" s="2"/>
      <c r="O375">
        <v>374</v>
      </c>
      <c r="P375">
        <v>0</v>
      </c>
      <c r="Q375" t="s">
        <v>25</v>
      </c>
      <c r="R375">
        <f ca="1">DATEDIF(EMP_RAW_Data[[#This Row],[Hire Date]],IF(EMP_RAW_Data[[#This Row],[Exit Date]]="",TODAY(),EMP_RAW_Data[[#This Row],[Exit Date]]),"Y")</f>
        <v>22</v>
      </c>
      <c r="S375" t="str">
        <f>IF(EMP_RAW_Data[[#This Row],[Status]]=1,"Inactive","Active")</f>
        <v>Active</v>
      </c>
    </row>
    <row r="376" spans="1:19" hidden="1" x14ac:dyDescent="0.3">
      <c r="A376" s="1" t="s">
        <v>459</v>
      </c>
      <c r="B376" s="1" t="s">
        <v>33</v>
      </c>
      <c r="C376" s="1" t="s">
        <v>62</v>
      </c>
      <c r="D376" s="1" t="s">
        <v>28</v>
      </c>
      <c r="E376" s="1" t="s">
        <v>29</v>
      </c>
      <c r="F376">
        <v>53</v>
      </c>
      <c r="G376" t="s">
        <v>36</v>
      </c>
      <c r="H376" s="2">
        <v>41204</v>
      </c>
      <c r="I376">
        <v>168510</v>
      </c>
      <c r="J376">
        <v>0.28999999999999998</v>
      </c>
      <c r="K376">
        <v>217377.9</v>
      </c>
      <c r="L376" s="1" t="s">
        <v>23</v>
      </c>
      <c r="M376" s="1" t="s">
        <v>24</v>
      </c>
      <c r="N376" s="2"/>
      <c r="O376">
        <v>375</v>
      </c>
      <c r="P376">
        <v>0</v>
      </c>
      <c r="Q376" t="s">
        <v>25</v>
      </c>
      <c r="R376">
        <f ca="1">DATEDIF(EMP_RAW_Data[[#This Row],[Hire Date]],IF(EMP_RAW_Data[[#This Row],[Exit Date]]="",TODAY(),EMP_RAW_Data[[#This Row],[Exit Date]]),"Y")</f>
        <v>13</v>
      </c>
      <c r="S376" t="str">
        <f>IF(EMP_RAW_Data[[#This Row],[Status]]=1,"Inactive","Active")</f>
        <v>Active</v>
      </c>
    </row>
    <row r="377" spans="1:19" hidden="1" x14ac:dyDescent="0.3">
      <c r="A377" s="1" t="s">
        <v>460</v>
      </c>
      <c r="B377" s="1" t="s">
        <v>124</v>
      </c>
      <c r="C377" s="1" t="s">
        <v>62</v>
      </c>
      <c r="D377" s="1" t="s">
        <v>35</v>
      </c>
      <c r="E377" s="1" t="s">
        <v>21</v>
      </c>
      <c r="F377">
        <v>36</v>
      </c>
      <c r="G377" t="s">
        <v>59</v>
      </c>
      <c r="H377" s="2">
        <v>42443</v>
      </c>
      <c r="I377">
        <v>85870</v>
      </c>
      <c r="J377">
        <v>0</v>
      </c>
      <c r="K377">
        <v>85870</v>
      </c>
      <c r="L377" s="1" t="s">
        <v>77</v>
      </c>
      <c r="M377" s="1" t="s">
        <v>148</v>
      </c>
      <c r="N377" s="2"/>
      <c r="O377">
        <v>376</v>
      </c>
      <c r="P377">
        <v>0</v>
      </c>
      <c r="Q377" t="s">
        <v>25</v>
      </c>
      <c r="R377">
        <f ca="1">DATEDIF(EMP_RAW_Data[[#This Row],[Hire Date]],IF(EMP_RAW_Data[[#This Row],[Exit Date]]="",TODAY(),EMP_RAW_Data[[#This Row],[Exit Date]]),"Y")</f>
        <v>10</v>
      </c>
      <c r="S377" t="str">
        <f>IF(EMP_RAW_Data[[#This Row],[Status]]=1,"Inactive","Active")</f>
        <v>Active</v>
      </c>
    </row>
    <row r="378" spans="1:19" x14ac:dyDescent="0.3">
      <c r="A378" s="1" t="s">
        <v>461</v>
      </c>
      <c r="B378" s="1" t="s">
        <v>42</v>
      </c>
      <c r="C378" s="1" t="s">
        <v>69</v>
      </c>
      <c r="D378" s="1" t="s">
        <v>47</v>
      </c>
      <c r="E378" s="1" t="s">
        <v>21</v>
      </c>
      <c r="F378">
        <v>46</v>
      </c>
      <c r="G378" t="s">
        <v>36</v>
      </c>
      <c r="H378" s="2">
        <v>37271</v>
      </c>
      <c r="I378">
        <v>86510</v>
      </c>
      <c r="J378">
        <v>0</v>
      </c>
      <c r="K378">
        <v>86510</v>
      </c>
      <c r="L378" s="1" t="s">
        <v>30</v>
      </c>
      <c r="M378" s="1" t="s">
        <v>90</v>
      </c>
      <c r="N378" s="2">
        <v>37623</v>
      </c>
      <c r="O378">
        <v>377</v>
      </c>
      <c r="P378">
        <v>1</v>
      </c>
      <c r="Q378" t="s">
        <v>25</v>
      </c>
      <c r="R378">
        <f ca="1">DATEDIF(EMP_RAW_Data[[#This Row],[Hire Date]],IF(EMP_RAW_Data[[#This Row],[Exit Date]]="",TODAY(),EMP_RAW_Data[[#This Row],[Exit Date]]),"Y")</f>
        <v>0</v>
      </c>
      <c r="S378" t="str">
        <f>IF(EMP_RAW_Data[[#This Row],[Status]]=1,"Inactive","Active")</f>
        <v>Inactive</v>
      </c>
    </row>
    <row r="379" spans="1:19" hidden="1" x14ac:dyDescent="0.3">
      <c r="A379" s="1" t="s">
        <v>462</v>
      </c>
      <c r="B379" s="1" t="s">
        <v>49</v>
      </c>
      <c r="C379" s="1" t="s">
        <v>46</v>
      </c>
      <c r="D379" s="1" t="s">
        <v>35</v>
      </c>
      <c r="E379" s="1" t="s">
        <v>21</v>
      </c>
      <c r="F379">
        <v>38</v>
      </c>
      <c r="G379" t="s">
        <v>59</v>
      </c>
      <c r="H379" s="2">
        <v>42999</v>
      </c>
      <c r="I379">
        <v>119647</v>
      </c>
      <c r="J379">
        <v>0.09</v>
      </c>
      <c r="K379">
        <v>130415.23</v>
      </c>
      <c r="L379" s="1" t="s">
        <v>77</v>
      </c>
      <c r="M379" s="1" t="s">
        <v>148</v>
      </c>
      <c r="N379" s="2"/>
      <c r="O379">
        <v>378</v>
      </c>
      <c r="P379">
        <v>0</v>
      </c>
      <c r="Q379" t="s">
        <v>25</v>
      </c>
      <c r="R379">
        <f ca="1">DATEDIF(EMP_RAW_Data[[#This Row],[Hire Date]],IF(EMP_RAW_Data[[#This Row],[Exit Date]]="",TODAY(),EMP_RAW_Data[[#This Row],[Exit Date]]),"Y")</f>
        <v>8</v>
      </c>
      <c r="S379" t="str">
        <f>IF(EMP_RAW_Data[[#This Row],[Status]]=1,"Inactive","Active")</f>
        <v>Active</v>
      </c>
    </row>
    <row r="380" spans="1:19" hidden="1" x14ac:dyDescent="0.3">
      <c r="A380" s="1" t="s">
        <v>463</v>
      </c>
      <c r="B380" s="1" t="s">
        <v>100</v>
      </c>
      <c r="C380" s="1" t="s">
        <v>19</v>
      </c>
      <c r="D380" s="1" t="s">
        <v>20</v>
      </c>
      <c r="E380" s="1" t="s">
        <v>29</v>
      </c>
      <c r="F380">
        <v>62</v>
      </c>
      <c r="G380" t="s">
        <v>22</v>
      </c>
      <c r="H380" s="2">
        <v>36996</v>
      </c>
      <c r="I380">
        <v>80921</v>
      </c>
      <c r="J380">
        <v>0</v>
      </c>
      <c r="K380">
        <v>80921</v>
      </c>
      <c r="L380" s="1" t="s">
        <v>23</v>
      </c>
      <c r="M380" s="1" t="s">
        <v>74</v>
      </c>
      <c r="N380" s="2"/>
      <c r="O380">
        <v>379</v>
      </c>
      <c r="P380">
        <v>0</v>
      </c>
      <c r="Q380" t="s">
        <v>25</v>
      </c>
      <c r="R380">
        <f ca="1">DATEDIF(EMP_RAW_Data[[#This Row],[Hire Date]],IF(EMP_RAW_Data[[#This Row],[Exit Date]]="",TODAY(),EMP_RAW_Data[[#This Row],[Exit Date]]),"Y")</f>
        <v>24</v>
      </c>
      <c r="S380" t="str">
        <f>IF(EMP_RAW_Data[[#This Row],[Status]]=1,"Inactive","Active")</f>
        <v>Active</v>
      </c>
    </row>
    <row r="381" spans="1:19" hidden="1" x14ac:dyDescent="0.3">
      <c r="A381" s="1" t="s">
        <v>464</v>
      </c>
      <c r="B381" s="1" t="s">
        <v>89</v>
      </c>
      <c r="C381" s="1" t="s">
        <v>62</v>
      </c>
      <c r="D381" s="1" t="s">
        <v>20</v>
      </c>
      <c r="E381" s="1" t="s">
        <v>21</v>
      </c>
      <c r="F381">
        <v>61</v>
      </c>
      <c r="G381" t="s">
        <v>22</v>
      </c>
      <c r="H381" s="2">
        <v>40193</v>
      </c>
      <c r="I381">
        <v>98110</v>
      </c>
      <c r="J381">
        <v>0.13</v>
      </c>
      <c r="K381">
        <v>110864.3</v>
      </c>
      <c r="L381" s="1" t="s">
        <v>23</v>
      </c>
      <c r="M381" s="1" t="s">
        <v>37</v>
      </c>
      <c r="N381" s="2"/>
      <c r="O381">
        <v>380</v>
      </c>
      <c r="P381">
        <v>0</v>
      </c>
      <c r="Q381" t="s">
        <v>25</v>
      </c>
      <c r="R381">
        <f ca="1">DATEDIF(EMP_RAW_Data[[#This Row],[Hire Date]],IF(EMP_RAW_Data[[#This Row],[Exit Date]]="",TODAY(),EMP_RAW_Data[[#This Row],[Exit Date]]),"Y")</f>
        <v>16</v>
      </c>
      <c r="S381" t="str">
        <f>IF(EMP_RAW_Data[[#This Row],[Status]]=1,"Inactive","Active")</f>
        <v>Active</v>
      </c>
    </row>
    <row r="382" spans="1:19" hidden="1" x14ac:dyDescent="0.3">
      <c r="A382" s="1" t="s">
        <v>465</v>
      </c>
      <c r="B382" s="1" t="s">
        <v>164</v>
      </c>
      <c r="C382" s="1" t="s">
        <v>19</v>
      </c>
      <c r="D382" s="1" t="s">
        <v>35</v>
      </c>
      <c r="E382" s="1" t="s">
        <v>21</v>
      </c>
      <c r="F382">
        <v>59</v>
      </c>
      <c r="G382" t="s">
        <v>22</v>
      </c>
      <c r="H382" s="2">
        <v>43028</v>
      </c>
      <c r="I382">
        <v>86831</v>
      </c>
      <c r="J382">
        <v>0</v>
      </c>
      <c r="K382">
        <v>86831</v>
      </c>
      <c r="L382" s="1" t="s">
        <v>23</v>
      </c>
      <c r="M382" s="1" t="s">
        <v>43</v>
      </c>
      <c r="N382" s="2"/>
      <c r="O382">
        <v>381</v>
      </c>
      <c r="P382">
        <v>0</v>
      </c>
      <c r="Q382" t="s">
        <v>25</v>
      </c>
      <c r="R382">
        <f ca="1">DATEDIF(EMP_RAW_Data[[#This Row],[Hire Date]],IF(EMP_RAW_Data[[#This Row],[Exit Date]]="",TODAY(),EMP_RAW_Data[[#This Row],[Exit Date]]),"Y")</f>
        <v>8</v>
      </c>
      <c r="S382" t="str">
        <f>IF(EMP_RAW_Data[[#This Row],[Status]]=1,"Inactive","Active")</f>
        <v>Active</v>
      </c>
    </row>
    <row r="383" spans="1:19" hidden="1" x14ac:dyDescent="0.3">
      <c r="A383" s="1" t="s">
        <v>466</v>
      </c>
      <c r="B383" s="1" t="s">
        <v>27</v>
      </c>
      <c r="C383" s="1" t="s">
        <v>19</v>
      </c>
      <c r="D383" s="1" t="s">
        <v>35</v>
      </c>
      <c r="E383" s="1" t="s">
        <v>21</v>
      </c>
      <c r="F383">
        <v>49</v>
      </c>
      <c r="G383" t="s">
        <v>36</v>
      </c>
      <c r="H383" s="2">
        <v>40431</v>
      </c>
      <c r="I383">
        <v>72826</v>
      </c>
      <c r="J383">
        <v>0</v>
      </c>
      <c r="K383">
        <v>72826</v>
      </c>
      <c r="L383" s="1" t="s">
        <v>30</v>
      </c>
      <c r="M383" s="1" t="s">
        <v>90</v>
      </c>
      <c r="N383" s="2"/>
      <c r="O383">
        <v>382</v>
      </c>
      <c r="P383">
        <v>0</v>
      </c>
      <c r="Q383" t="s">
        <v>25</v>
      </c>
      <c r="R383">
        <f ca="1">DATEDIF(EMP_RAW_Data[[#This Row],[Hire Date]],IF(EMP_RAW_Data[[#This Row],[Exit Date]]="",TODAY(),EMP_RAW_Data[[#This Row],[Exit Date]]),"Y")</f>
        <v>15</v>
      </c>
      <c r="S383" t="str">
        <f>IF(EMP_RAW_Data[[#This Row],[Status]]=1,"Inactive","Active")</f>
        <v>Active</v>
      </c>
    </row>
    <row r="384" spans="1:19" hidden="1" x14ac:dyDescent="0.3">
      <c r="A384" s="1" t="s">
        <v>467</v>
      </c>
      <c r="B384" s="1" t="s">
        <v>33</v>
      </c>
      <c r="C384" s="1" t="s">
        <v>69</v>
      </c>
      <c r="D384" s="1" t="s">
        <v>28</v>
      </c>
      <c r="E384" s="1" t="s">
        <v>21</v>
      </c>
      <c r="F384">
        <v>64</v>
      </c>
      <c r="G384" t="s">
        <v>22</v>
      </c>
      <c r="H384" s="2">
        <v>40588</v>
      </c>
      <c r="I384">
        <v>171217</v>
      </c>
      <c r="J384">
        <v>0.19</v>
      </c>
      <c r="K384">
        <v>203748.23</v>
      </c>
      <c r="L384" s="1" t="s">
        <v>23</v>
      </c>
      <c r="M384" s="1" t="s">
        <v>24</v>
      </c>
      <c r="N384" s="2"/>
      <c r="O384">
        <v>383</v>
      </c>
      <c r="P384">
        <v>0</v>
      </c>
      <c r="Q384" t="s">
        <v>25</v>
      </c>
      <c r="R384">
        <f ca="1">DATEDIF(EMP_RAW_Data[[#This Row],[Hire Date]],IF(EMP_RAW_Data[[#This Row],[Exit Date]]="",TODAY(),EMP_RAW_Data[[#This Row],[Exit Date]]),"Y")</f>
        <v>15</v>
      </c>
      <c r="S384" t="str">
        <f>IF(EMP_RAW_Data[[#This Row],[Status]]=1,"Inactive","Active")</f>
        <v>Active</v>
      </c>
    </row>
    <row r="385" spans="1:19" hidden="1" x14ac:dyDescent="0.3">
      <c r="A385" s="1" t="s">
        <v>468</v>
      </c>
      <c r="B385" s="1" t="s">
        <v>49</v>
      </c>
      <c r="C385" s="1" t="s">
        <v>19</v>
      </c>
      <c r="D385" s="1" t="s">
        <v>20</v>
      </c>
      <c r="E385" s="1" t="s">
        <v>21</v>
      </c>
      <c r="F385">
        <v>57</v>
      </c>
      <c r="G385" t="s">
        <v>22</v>
      </c>
      <c r="H385" s="2">
        <v>43948</v>
      </c>
      <c r="I385">
        <v>103058</v>
      </c>
      <c r="J385">
        <v>7.0000000000000007E-2</v>
      </c>
      <c r="K385">
        <v>110272.06</v>
      </c>
      <c r="L385" s="1" t="s">
        <v>23</v>
      </c>
      <c r="M385" s="1" t="s">
        <v>74</v>
      </c>
      <c r="N385" s="2"/>
      <c r="O385">
        <v>384</v>
      </c>
      <c r="P385">
        <v>0</v>
      </c>
      <c r="Q385" t="s">
        <v>25</v>
      </c>
      <c r="R385">
        <f ca="1">DATEDIF(EMP_RAW_Data[[#This Row],[Hire Date]],IF(EMP_RAW_Data[[#This Row],[Exit Date]]="",TODAY(),EMP_RAW_Data[[#This Row],[Exit Date]]),"Y")</f>
        <v>5</v>
      </c>
      <c r="S385" t="str">
        <f>IF(EMP_RAW_Data[[#This Row],[Status]]=1,"Inactive","Active")</f>
        <v>Active</v>
      </c>
    </row>
    <row r="386" spans="1:19" hidden="1" x14ac:dyDescent="0.3">
      <c r="A386" s="1" t="s">
        <v>469</v>
      </c>
      <c r="B386" s="1" t="s">
        <v>49</v>
      </c>
      <c r="C386" s="1" t="s">
        <v>46</v>
      </c>
      <c r="D386" s="1" t="s">
        <v>35</v>
      </c>
      <c r="E386" s="1" t="s">
        <v>29</v>
      </c>
      <c r="F386">
        <v>52</v>
      </c>
      <c r="G386" t="s">
        <v>36</v>
      </c>
      <c r="H386" s="2">
        <v>41858</v>
      </c>
      <c r="I386">
        <v>117062</v>
      </c>
      <c r="J386">
        <v>7.0000000000000007E-2</v>
      </c>
      <c r="K386">
        <v>125256.34</v>
      </c>
      <c r="L386" s="1" t="s">
        <v>23</v>
      </c>
      <c r="M386" s="1" t="s">
        <v>43</v>
      </c>
      <c r="N386" s="2"/>
      <c r="O386">
        <v>385</v>
      </c>
      <c r="P386">
        <v>0</v>
      </c>
      <c r="Q386" t="s">
        <v>25</v>
      </c>
      <c r="R386">
        <f ca="1">DATEDIF(EMP_RAW_Data[[#This Row],[Hire Date]],IF(EMP_RAW_Data[[#This Row],[Exit Date]]="",TODAY(),EMP_RAW_Data[[#This Row],[Exit Date]]),"Y")</f>
        <v>11</v>
      </c>
      <c r="S386" t="str">
        <f>IF(EMP_RAW_Data[[#This Row],[Status]]=1,"Inactive","Active")</f>
        <v>Active</v>
      </c>
    </row>
    <row r="387" spans="1:19" hidden="1" x14ac:dyDescent="0.3">
      <c r="A387" s="1" t="s">
        <v>470</v>
      </c>
      <c r="B387" s="1" t="s">
        <v>18</v>
      </c>
      <c r="C387" s="1" t="s">
        <v>54</v>
      </c>
      <c r="D387" s="1" t="s">
        <v>35</v>
      </c>
      <c r="E387" s="1" t="s">
        <v>29</v>
      </c>
      <c r="F387">
        <v>40</v>
      </c>
      <c r="G387" t="s">
        <v>59</v>
      </c>
      <c r="H387" s="2">
        <v>43488</v>
      </c>
      <c r="I387">
        <v>159031</v>
      </c>
      <c r="J387">
        <v>0.1</v>
      </c>
      <c r="K387">
        <v>174934.1</v>
      </c>
      <c r="L387" s="1" t="s">
        <v>23</v>
      </c>
      <c r="M387" s="1" t="s">
        <v>52</v>
      </c>
      <c r="N387" s="2"/>
      <c r="O387">
        <v>386</v>
      </c>
      <c r="P387">
        <v>0</v>
      </c>
      <c r="Q387" t="s">
        <v>25</v>
      </c>
      <c r="R387">
        <f ca="1">DATEDIF(EMP_RAW_Data[[#This Row],[Hire Date]],IF(EMP_RAW_Data[[#This Row],[Exit Date]]="",TODAY(),EMP_RAW_Data[[#This Row],[Exit Date]]),"Y")</f>
        <v>7</v>
      </c>
      <c r="S387" t="str">
        <f>IF(EMP_RAW_Data[[#This Row],[Status]]=1,"Inactive","Active")</f>
        <v>Active</v>
      </c>
    </row>
    <row r="388" spans="1:19" hidden="1" x14ac:dyDescent="0.3">
      <c r="A388" s="1" t="s">
        <v>471</v>
      </c>
      <c r="B388" s="1" t="s">
        <v>18</v>
      </c>
      <c r="C388" s="1" t="s">
        <v>19</v>
      </c>
      <c r="D388" s="1" t="s">
        <v>20</v>
      </c>
      <c r="E388" s="1" t="s">
        <v>21</v>
      </c>
      <c r="F388">
        <v>49</v>
      </c>
      <c r="G388" t="s">
        <v>36</v>
      </c>
      <c r="H388" s="2">
        <v>38000</v>
      </c>
      <c r="I388">
        <v>125086</v>
      </c>
      <c r="J388">
        <v>0.1</v>
      </c>
      <c r="K388">
        <v>137594.6</v>
      </c>
      <c r="L388" s="1" t="s">
        <v>77</v>
      </c>
      <c r="M388" s="1" t="s">
        <v>148</v>
      </c>
      <c r="N388" s="2"/>
      <c r="O388">
        <v>387</v>
      </c>
      <c r="P388">
        <v>0</v>
      </c>
      <c r="Q388" t="s">
        <v>25</v>
      </c>
      <c r="R388">
        <f ca="1">DATEDIF(EMP_RAW_Data[[#This Row],[Hire Date]],IF(EMP_RAW_Data[[#This Row],[Exit Date]]="",TODAY(),EMP_RAW_Data[[#This Row],[Exit Date]]),"Y")</f>
        <v>22</v>
      </c>
      <c r="S388" t="str">
        <f>IF(EMP_RAW_Data[[#This Row],[Status]]=1,"Inactive","Active")</f>
        <v>Active</v>
      </c>
    </row>
    <row r="389" spans="1:19" hidden="1" x14ac:dyDescent="0.3">
      <c r="A389" s="1" t="s">
        <v>472</v>
      </c>
      <c r="B389" s="1" t="s">
        <v>192</v>
      </c>
      <c r="C389" s="1" t="s">
        <v>19</v>
      </c>
      <c r="D389" s="1" t="s">
        <v>35</v>
      </c>
      <c r="E389" s="1" t="s">
        <v>29</v>
      </c>
      <c r="F389">
        <v>43</v>
      </c>
      <c r="G389" t="s">
        <v>59</v>
      </c>
      <c r="H389" s="2">
        <v>42467</v>
      </c>
      <c r="I389">
        <v>67976</v>
      </c>
      <c r="J389">
        <v>0</v>
      </c>
      <c r="K389">
        <v>67976</v>
      </c>
      <c r="L389" s="1" t="s">
        <v>23</v>
      </c>
      <c r="M389" s="1" t="s">
        <v>24</v>
      </c>
      <c r="N389" s="2"/>
      <c r="O389">
        <v>388</v>
      </c>
      <c r="P389">
        <v>0</v>
      </c>
      <c r="Q389" t="s">
        <v>25</v>
      </c>
      <c r="R389">
        <f ca="1">DATEDIF(EMP_RAW_Data[[#This Row],[Hire Date]],IF(EMP_RAW_Data[[#This Row],[Exit Date]]="",TODAY(),EMP_RAW_Data[[#This Row],[Exit Date]]),"Y")</f>
        <v>9</v>
      </c>
      <c r="S389" t="str">
        <f>IF(EMP_RAW_Data[[#This Row],[Status]]=1,"Inactive","Active")</f>
        <v>Active</v>
      </c>
    </row>
    <row r="390" spans="1:19" hidden="1" x14ac:dyDescent="0.3">
      <c r="A390" s="1" t="s">
        <v>473</v>
      </c>
      <c r="B390" s="1" t="s">
        <v>96</v>
      </c>
      <c r="C390" s="1" t="s">
        <v>34</v>
      </c>
      <c r="D390" s="1" t="s">
        <v>35</v>
      </c>
      <c r="E390" s="1" t="s">
        <v>29</v>
      </c>
      <c r="F390">
        <v>31</v>
      </c>
      <c r="G390" t="s">
        <v>40</v>
      </c>
      <c r="H390" s="2">
        <v>44308</v>
      </c>
      <c r="I390">
        <v>74215</v>
      </c>
      <c r="J390">
        <v>0</v>
      </c>
      <c r="K390">
        <v>74215</v>
      </c>
      <c r="L390" s="1" t="s">
        <v>23</v>
      </c>
      <c r="M390" s="1" t="s">
        <v>43</v>
      </c>
      <c r="N390" s="2"/>
      <c r="O390">
        <v>389</v>
      </c>
      <c r="P390">
        <v>0</v>
      </c>
      <c r="Q390" t="s">
        <v>25</v>
      </c>
      <c r="R390">
        <f ca="1">DATEDIF(EMP_RAW_Data[[#This Row],[Hire Date]],IF(EMP_RAW_Data[[#This Row],[Exit Date]]="",TODAY(),EMP_RAW_Data[[#This Row],[Exit Date]]),"Y")</f>
        <v>4</v>
      </c>
      <c r="S390" t="str">
        <f>IF(EMP_RAW_Data[[#This Row],[Status]]=1,"Inactive","Active")</f>
        <v>Active</v>
      </c>
    </row>
    <row r="391" spans="1:19" hidden="1" x14ac:dyDescent="0.3">
      <c r="A391" s="1" t="s">
        <v>474</v>
      </c>
      <c r="B391" s="1" t="s">
        <v>33</v>
      </c>
      <c r="C391" s="1" t="s">
        <v>54</v>
      </c>
      <c r="D391" s="1" t="s">
        <v>28</v>
      </c>
      <c r="E391" s="1" t="s">
        <v>29</v>
      </c>
      <c r="F391">
        <v>55</v>
      </c>
      <c r="G391" t="s">
        <v>22</v>
      </c>
      <c r="H391" s="2">
        <v>40340</v>
      </c>
      <c r="I391">
        <v>187389</v>
      </c>
      <c r="J391">
        <v>0.25</v>
      </c>
      <c r="K391">
        <v>234236.25</v>
      </c>
      <c r="L391" s="1" t="s">
        <v>30</v>
      </c>
      <c r="M391" s="1" t="s">
        <v>102</v>
      </c>
      <c r="N391" s="2"/>
      <c r="O391">
        <v>390</v>
      </c>
      <c r="P391">
        <v>0</v>
      </c>
      <c r="Q391" t="s">
        <v>25</v>
      </c>
      <c r="R391">
        <f ca="1">DATEDIF(EMP_RAW_Data[[#This Row],[Hire Date]],IF(EMP_RAW_Data[[#This Row],[Exit Date]]="",TODAY(),EMP_RAW_Data[[#This Row],[Exit Date]]),"Y")</f>
        <v>15</v>
      </c>
      <c r="S391" t="str">
        <f>IF(EMP_RAW_Data[[#This Row],[Status]]=1,"Inactive","Active")</f>
        <v>Active</v>
      </c>
    </row>
    <row r="392" spans="1:19" hidden="1" x14ac:dyDescent="0.3">
      <c r="A392" s="1" t="s">
        <v>475</v>
      </c>
      <c r="B392" s="1" t="s">
        <v>18</v>
      </c>
      <c r="C392" s="1" t="s">
        <v>58</v>
      </c>
      <c r="D392" s="1" t="s">
        <v>35</v>
      </c>
      <c r="E392" s="1" t="s">
        <v>21</v>
      </c>
      <c r="F392">
        <v>41</v>
      </c>
      <c r="G392" t="s">
        <v>59</v>
      </c>
      <c r="H392" s="2">
        <v>39747</v>
      </c>
      <c r="I392">
        <v>131841</v>
      </c>
      <c r="J392">
        <v>0.13</v>
      </c>
      <c r="K392">
        <v>148980.33000000002</v>
      </c>
      <c r="L392" s="1" t="s">
        <v>23</v>
      </c>
      <c r="M392" s="1" t="s">
        <v>74</v>
      </c>
      <c r="N392" s="2"/>
      <c r="O392">
        <v>391</v>
      </c>
      <c r="P392">
        <v>0</v>
      </c>
      <c r="Q392" t="s">
        <v>25</v>
      </c>
      <c r="R392">
        <f ca="1">DATEDIF(EMP_RAW_Data[[#This Row],[Hire Date]],IF(EMP_RAW_Data[[#This Row],[Exit Date]]="",TODAY(),EMP_RAW_Data[[#This Row],[Exit Date]]),"Y")</f>
        <v>17</v>
      </c>
      <c r="S392" t="str">
        <f>IF(EMP_RAW_Data[[#This Row],[Status]]=1,"Inactive","Active")</f>
        <v>Active</v>
      </c>
    </row>
    <row r="393" spans="1:19" hidden="1" x14ac:dyDescent="0.3">
      <c r="A393" s="1" t="s">
        <v>476</v>
      </c>
      <c r="B393" s="1" t="s">
        <v>42</v>
      </c>
      <c r="C393" s="1" t="s">
        <v>54</v>
      </c>
      <c r="D393" s="1" t="s">
        <v>20</v>
      </c>
      <c r="E393" s="1" t="s">
        <v>29</v>
      </c>
      <c r="F393">
        <v>34</v>
      </c>
      <c r="G393" t="s">
        <v>40</v>
      </c>
      <c r="H393" s="2">
        <v>40750</v>
      </c>
      <c r="I393">
        <v>97231</v>
      </c>
      <c r="J393">
        <v>0</v>
      </c>
      <c r="K393">
        <v>97231</v>
      </c>
      <c r="L393" s="1" t="s">
        <v>30</v>
      </c>
      <c r="M393" s="1" t="s">
        <v>90</v>
      </c>
      <c r="N393" s="2"/>
      <c r="O393">
        <v>392</v>
      </c>
      <c r="P393">
        <v>0</v>
      </c>
      <c r="Q393" t="s">
        <v>25</v>
      </c>
      <c r="R393">
        <f ca="1">DATEDIF(EMP_RAW_Data[[#This Row],[Hire Date]],IF(EMP_RAW_Data[[#This Row],[Exit Date]]="",TODAY(),EMP_RAW_Data[[#This Row],[Exit Date]]),"Y")</f>
        <v>14</v>
      </c>
      <c r="S393" t="str">
        <f>IF(EMP_RAW_Data[[#This Row],[Status]]=1,"Inactive","Active")</f>
        <v>Active</v>
      </c>
    </row>
    <row r="394" spans="1:19" hidden="1" x14ac:dyDescent="0.3">
      <c r="A394" s="1" t="s">
        <v>477</v>
      </c>
      <c r="B394" s="1" t="s">
        <v>18</v>
      </c>
      <c r="C394" s="1" t="s">
        <v>34</v>
      </c>
      <c r="D394" s="1" t="s">
        <v>47</v>
      </c>
      <c r="E394" s="1" t="s">
        <v>21</v>
      </c>
      <c r="F394">
        <v>41</v>
      </c>
      <c r="G394" t="s">
        <v>59</v>
      </c>
      <c r="H394" s="2">
        <v>38060</v>
      </c>
      <c r="I394">
        <v>155004</v>
      </c>
      <c r="J394">
        <v>0.12</v>
      </c>
      <c r="K394">
        <v>173604.48000000001</v>
      </c>
      <c r="L394" s="1" t="s">
        <v>23</v>
      </c>
      <c r="M394" s="1" t="s">
        <v>55</v>
      </c>
      <c r="N394" s="2"/>
      <c r="O394">
        <v>393</v>
      </c>
      <c r="P394">
        <v>0</v>
      </c>
      <c r="Q394" t="s">
        <v>25</v>
      </c>
      <c r="R394">
        <f ca="1">DATEDIF(EMP_RAW_Data[[#This Row],[Hire Date]],IF(EMP_RAW_Data[[#This Row],[Exit Date]]="",TODAY(),EMP_RAW_Data[[#This Row],[Exit Date]]),"Y")</f>
        <v>22</v>
      </c>
      <c r="S394" t="str">
        <f>IF(EMP_RAW_Data[[#This Row],[Status]]=1,"Inactive","Active")</f>
        <v>Active</v>
      </c>
    </row>
    <row r="395" spans="1:19" hidden="1" x14ac:dyDescent="0.3">
      <c r="A395" s="1" t="s">
        <v>478</v>
      </c>
      <c r="B395" s="1" t="s">
        <v>208</v>
      </c>
      <c r="C395" s="1" t="s">
        <v>19</v>
      </c>
      <c r="D395" s="1" t="s">
        <v>28</v>
      </c>
      <c r="E395" s="1" t="s">
        <v>29</v>
      </c>
      <c r="F395">
        <v>40</v>
      </c>
      <c r="G395" t="s">
        <v>59</v>
      </c>
      <c r="H395" s="2">
        <v>39293</v>
      </c>
      <c r="I395">
        <v>41859</v>
      </c>
      <c r="J395">
        <v>0</v>
      </c>
      <c r="K395">
        <v>41859</v>
      </c>
      <c r="L395" s="1" t="s">
        <v>23</v>
      </c>
      <c r="M395" s="1" t="s">
        <v>24</v>
      </c>
      <c r="N395" s="2"/>
      <c r="O395">
        <v>394</v>
      </c>
      <c r="P395">
        <v>0</v>
      </c>
      <c r="Q395" t="s">
        <v>25</v>
      </c>
      <c r="R395">
        <f ca="1">DATEDIF(EMP_RAW_Data[[#This Row],[Hire Date]],IF(EMP_RAW_Data[[#This Row],[Exit Date]]="",TODAY(),EMP_RAW_Data[[#This Row],[Exit Date]]),"Y")</f>
        <v>18</v>
      </c>
      <c r="S395" t="str">
        <f>IF(EMP_RAW_Data[[#This Row],[Status]]=1,"Inactive","Active")</f>
        <v>Active</v>
      </c>
    </row>
    <row r="396" spans="1:19" hidden="1" x14ac:dyDescent="0.3">
      <c r="A396" s="1" t="s">
        <v>479</v>
      </c>
      <c r="B396" s="1" t="s">
        <v>93</v>
      </c>
      <c r="C396" s="1" t="s">
        <v>19</v>
      </c>
      <c r="D396" s="1" t="s">
        <v>28</v>
      </c>
      <c r="E396" s="1" t="s">
        <v>29</v>
      </c>
      <c r="F396">
        <v>42</v>
      </c>
      <c r="G396" t="s">
        <v>59</v>
      </c>
      <c r="H396" s="2">
        <v>38984</v>
      </c>
      <c r="I396">
        <v>52733</v>
      </c>
      <c r="J396">
        <v>0</v>
      </c>
      <c r="K396">
        <v>52733</v>
      </c>
      <c r="L396" s="1" t="s">
        <v>23</v>
      </c>
      <c r="M396" s="1" t="s">
        <v>37</v>
      </c>
      <c r="N396" s="2"/>
      <c r="O396">
        <v>395</v>
      </c>
      <c r="P396">
        <v>0</v>
      </c>
      <c r="Q396" t="s">
        <v>25</v>
      </c>
      <c r="R396">
        <f ca="1">DATEDIF(EMP_RAW_Data[[#This Row],[Hire Date]],IF(EMP_RAW_Data[[#This Row],[Exit Date]]="",TODAY(),EMP_RAW_Data[[#This Row],[Exit Date]]),"Y")</f>
        <v>19</v>
      </c>
      <c r="S396" t="str">
        <f>IF(EMP_RAW_Data[[#This Row],[Status]]=1,"Inactive","Active")</f>
        <v>Active</v>
      </c>
    </row>
    <row r="397" spans="1:19" hidden="1" x14ac:dyDescent="0.3">
      <c r="A397" s="1" t="s">
        <v>480</v>
      </c>
      <c r="B397" s="1" t="s">
        <v>68</v>
      </c>
      <c r="C397" s="1" t="s">
        <v>58</v>
      </c>
      <c r="D397" s="1" t="s">
        <v>47</v>
      </c>
      <c r="E397" s="1" t="s">
        <v>29</v>
      </c>
      <c r="F397">
        <v>31</v>
      </c>
      <c r="G397" t="s">
        <v>40</v>
      </c>
      <c r="H397" s="2">
        <v>42250</v>
      </c>
      <c r="I397">
        <v>250953</v>
      </c>
      <c r="J397">
        <v>0.34</v>
      </c>
      <c r="K397">
        <v>336277.02</v>
      </c>
      <c r="L397" s="1" t="s">
        <v>23</v>
      </c>
      <c r="M397" s="1" t="s">
        <v>74</v>
      </c>
      <c r="N397" s="2"/>
      <c r="O397">
        <v>396</v>
      </c>
      <c r="P397">
        <v>0</v>
      </c>
      <c r="Q397" t="s">
        <v>25</v>
      </c>
      <c r="R397">
        <f ca="1">DATEDIF(EMP_RAW_Data[[#This Row],[Hire Date]],IF(EMP_RAW_Data[[#This Row],[Exit Date]]="",TODAY(),EMP_RAW_Data[[#This Row],[Exit Date]]),"Y")</f>
        <v>10</v>
      </c>
      <c r="S397" t="str">
        <f>IF(EMP_RAW_Data[[#This Row],[Status]]=1,"Inactive","Active")</f>
        <v>Active</v>
      </c>
    </row>
    <row r="398" spans="1:19" hidden="1" x14ac:dyDescent="0.3">
      <c r="A398" s="1" t="s">
        <v>481</v>
      </c>
      <c r="B398" s="1" t="s">
        <v>33</v>
      </c>
      <c r="C398" s="1" t="s">
        <v>69</v>
      </c>
      <c r="D398" s="1" t="s">
        <v>20</v>
      </c>
      <c r="E398" s="1" t="s">
        <v>29</v>
      </c>
      <c r="F398">
        <v>49</v>
      </c>
      <c r="G398" t="s">
        <v>36</v>
      </c>
      <c r="H398" s="2">
        <v>36210</v>
      </c>
      <c r="I398">
        <v>191807</v>
      </c>
      <c r="J398">
        <v>0.21</v>
      </c>
      <c r="K398">
        <v>232086.47</v>
      </c>
      <c r="L398" s="1" t="s">
        <v>30</v>
      </c>
      <c r="M398" s="1" t="s">
        <v>31</v>
      </c>
      <c r="N398" s="2"/>
      <c r="O398">
        <v>397</v>
      </c>
      <c r="P398">
        <v>0</v>
      </c>
      <c r="Q398" t="s">
        <v>25</v>
      </c>
      <c r="R398">
        <f ca="1">DATEDIF(EMP_RAW_Data[[#This Row],[Hire Date]],IF(EMP_RAW_Data[[#This Row],[Exit Date]]="",TODAY(),EMP_RAW_Data[[#This Row],[Exit Date]]),"Y")</f>
        <v>27</v>
      </c>
      <c r="S398" t="str">
        <f>IF(EMP_RAW_Data[[#This Row],[Status]]=1,"Inactive","Active")</f>
        <v>Active</v>
      </c>
    </row>
    <row r="399" spans="1:19" hidden="1" x14ac:dyDescent="0.3">
      <c r="A399" s="1" t="s">
        <v>482</v>
      </c>
      <c r="B399" s="1" t="s">
        <v>27</v>
      </c>
      <c r="C399" s="1" t="s">
        <v>19</v>
      </c>
      <c r="D399" s="1" t="s">
        <v>35</v>
      </c>
      <c r="E399" s="1" t="s">
        <v>29</v>
      </c>
      <c r="F399">
        <v>42</v>
      </c>
      <c r="G399" t="s">
        <v>59</v>
      </c>
      <c r="H399" s="2">
        <v>41813</v>
      </c>
      <c r="I399">
        <v>64677</v>
      </c>
      <c r="J399">
        <v>0</v>
      </c>
      <c r="K399">
        <v>64677</v>
      </c>
      <c r="L399" s="1" t="s">
        <v>30</v>
      </c>
      <c r="M399" s="1" t="s">
        <v>31</v>
      </c>
      <c r="N399" s="2"/>
      <c r="O399">
        <v>398</v>
      </c>
      <c r="P399">
        <v>0</v>
      </c>
      <c r="Q399" t="s">
        <v>25</v>
      </c>
      <c r="R399">
        <f ca="1">DATEDIF(EMP_RAW_Data[[#This Row],[Hire Date]],IF(EMP_RAW_Data[[#This Row],[Exit Date]]="",TODAY(),EMP_RAW_Data[[#This Row],[Exit Date]]),"Y")</f>
        <v>11</v>
      </c>
      <c r="S399" t="str">
        <f>IF(EMP_RAW_Data[[#This Row],[Status]]=1,"Inactive","Active")</f>
        <v>Active</v>
      </c>
    </row>
    <row r="400" spans="1:19" hidden="1" x14ac:dyDescent="0.3">
      <c r="A400" s="1" t="s">
        <v>483</v>
      </c>
      <c r="B400" s="1" t="s">
        <v>18</v>
      </c>
      <c r="C400" s="1" t="s">
        <v>19</v>
      </c>
      <c r="D400" s="1" t="s">
        <v>47</v>
      </c>
      <c r="E400" s="1" t="s">
        <v>29</v>
      </c>
      <c r="F400">
        <v>46</v>
      </c>
      <c r="G400" t="s">
        <v>36</v>
      </c>
      <c r="H400" s="2">
        <v>38244</v>
      </c>
      <c r="I400">
        <v>130274</v>
      </c>
      <c r="J400">
        <v>0.11</v>
      </c>
      <c r="K400">
        <v>144604.14000000001</v>
      </c>
      <c r="L400" s="1" t="s">
        <v>23</v>
      </c>
      <c r="M400" s="1" t="s">
        <v>37</v>
      </c>
      <c r="N400" s="2"/>
      <c r="O400">
        <v>399</v>
      </c>
      <c r="P400">
        <v>0</v>
      </c>
      <c r="Q400" t="s">
        <v>25</v>
      </c>
      <c r="R400">
        <f ca="1">DATEDIF(EMP_RAW_Data[[#This Row],[Hire Date]],IF(EMP_RAW_Data[[#This Row],[Exit Date]]="",TODAY(),EMP_RAW_Data[[#This Row],[Exit Date]]),"Y")</f>
        <v>21</v>
      </c>
      <c r="S400" t="str">
        <f>IF(EMP_RAW_Data[[#This Row],[Status]]=1,"Inactive","Active")</f>
        <v>Active</v>
      </c>
    </row>
    <row r="401" spans="1:19" hidden="1" x14ac:dyDescent="0.3">
      <c r="A401" s="1" t="s">
        <v>484</v>
      </c>
      <c r="B401" s="1" t="s">
        <v>164</v>
      </c>
      <c r="C401" s="1" t="s">
        <v>19</v>
      </c>
      <c r="D401" s="1" t="s">
        <v>20</v>
      </c>
      <c r="E401" s="1" t="s">
        <v>29</v>
      </c>
      <c r="F401">
        <v>37</v>
      </c>
      <c r="G401" t="s">
        <v>59</v>
      </c>
      <c r="H401" s="2">
        <v>42922</v>
      </c>
      <c r="I401">
        <v>96331</v>
      </c>
      <c r="J401">
        <v>0</v>
      </c>
      <c r="K401">
        <v>96331</v>
      </c>
      <c r="L401" s="1" t="s">
        <v>30</v>
      </c>
      <c r="M401" s="1" t="s">
        <v>65</v>
      </c>
      <c r="N401" s="2"/>
      <c r="O401">
        <v>400</v>
      </c>
      <c r="P401">
        <v>0</v>
      </c>
      <c r="Q401" t="s">
        <v>25</v>
      </c>
      <c r="R401">
        <f ca="1">DATEDIF(EMP_RAW_Data[[#This Row],[Hire Date]],IF(EMP_RAW_Data[[#This Row],[Exit Date]]="",TODAY(),EMP_RAW_Data[[#This Row],[Exit Date]]),"Y")</f>
        <v>8</v>
      </c>
      <c r="S401" t="str">
        <f>IF(EMP_RAW_Data[[#This Row],[Status]]=1,"Inactive","Active")</f>
        <v>Active</v>
      </c>
    </row>
    <row r="402" spans="1:19" x14ac:dyDescent="0.3">
      <c r="A402" s="1" t="s">
        <v>485</v>
      </c>
      <c r="B402" s="1" t="s">
        <v>18</v>
      </c>
      <c r="C402" s="1" t="s">
        <v>34</v>
      </c>
      <c r="D402" s="1" t="s">
        <v>20</v>
      </c>
      <c r="E402" s="1" t="s">
        <v>21</v>
      </c>
      <c r="F402">
        <v>51</v>
      </c>
      <c r="G402" t="s">
        <v>36</v>
      </c>
      <c r="H402" s="2">
        <v>38835</v>
      </c>
      <c r="I402">
        <v>150758</v>
      </c>
      <c r="J402">
        <v>0.13</v>
      </c>
      <c r="K402">
        <v>170356.54</v>
      </c>
      <c r="L402" s="1" t="s">
        <v>23</v>
      </c>
      <c r="M402" s="1" t="s">
        <v>37</v>
      </c>
      <c r="N402" s="2">
        <v>39310</v>
      </c>
      <c r="O402">
        <v>401</v>
      </c>
      <c r="P402">
        <v>1</v>
      </c>
      <c r="Q402" t="s">
        <v>25</v>
      </c>
      <c r="R402">
        <f ca="1">DATEDIF(EMP_RAW_Data[[#This Row],[Hire Date]],IF(EMP_RAW_Data[[#This Row],[Exit Date]]="",TODAY(),EMP_RAW_Data[[#This Row],[Exit Date]]),"Y")</f>
        <v>1</v>
      </c>
      <c r="S402" t="str">
        <f>IF(EMP_RAW_Data[[#This Row],[Status]]=1,"Inactive","Active")</f>
        <v>Inactive</v>
      </c>
    </row>
    <row r="403" spans="1:19" hidden="1" x14ac:dyDescent="0.3">
      <c r="A403" s="1" t="s">
        <v>486</v>
      </c>
      <c r="B403" s="1" t="s">
        <v>33</v>
      </c>
      <c r="C403" s="1" t="s">
        <v>62</v>
      </c>
      <c r="D403" s="1" t="s">
        <v>47</v>
      </c>
      <c r="E403" s="1" t="s">
        <v>29</v>
      </c>
      <c r="F403">
        <v>46</v>
      </c>
      <c r="G403" t="s">
        <v>36</v>
      </c>
      <c r="H403" s="2">
        <v>41839</v>
      </c>
      <c r="I403">
        <v>173629</v>
      </c>
      <c r="J403">
        <v>0.21</v>
      </c>
      <c r="K403">
        <v>210091.09</v>
      </c>
      <c r="L403" s="1" t="s">
        <v>77</v>
      </c>
      <c r="M403" s="1" t="s">
        <v>148</v>
      </c>
      <c r="N403" s="2"/>
      <c r="O403">
        <v>402</v>
      </c>
      <c r="P403">
        <v>0</v>
      </c>
      <c r="Q403" t="s">
        <v>25</v>
      </c>
      <c r="R403">
        <f ca="1">DATEDIF(EMP_RAW_Data[[#This Row],[Hire Date]],IF(EMP_RAW_Data[[#This Row],[Exit Date]]="",TODAY(),EMP_RAW_Data[[#This Row],[Exit Date]]),"Y")</f>
        <v>11</v>
      </c>
      <c r="S403" t="str">
        <f>IF(EMP_RAW_Data[[#This Row],[Status]]=1,"Inactive","Active")</f>
        <v>Active</v>
      </c>
    </row>
    <row r="404" spans="1:19" hidden="1" x14ac:dyDescent="0.3">
      <c r="A404" s="1" t="s">
        <v>487</v>
      </c>
      <c r="B404" s="1" t="s">
        <v>230</v>
      </c>
      <c r="C404" s="1" t="s">
        <v>19</v>
      </c>
      <c r="D404" s="1" t="s">
        <v>47</v>
      </c>
      <c r="E404" s="1" t="s">
        <v>29</v>
      </c>
      <c r="F404">
        <v>55</v>
      </c>
      <c r="G404" t="s">
        <v>22</v>
      </c>
      <c r="H404" s="2">
        <v>35919</v>
      </c>
      <c r="I404">
        <v>62174</v>
      </c>
      <c r="J404">
        <v>0</v>
      </c>
      <c r="K404">
        <v>62174</v>
      </c>
      <c r="L404" s="1" t="s">
        <v>23</v>
      </c>
      <c r="M404" s="1" t="s">
        <v>37</v>
      </c>
      <c r="N404" s="2"/>
      <c r="O404">
        <v>403</v>
      </c>
      <c r="P404">
        <v>0</v>
      </c>
      <c r="Q404" t="s">
        <v>25</v>
      </c>
      <c r="R404">
        <f ca="1">DATEDIF(EMP_RAW_Data[[#This Row],[Hire Date]],IF(EMP_RAW_Data[[#This Row],[Exit Date]]="",TODAY(),EMP_RAW_Data[[#This Row],[Exit Date]]),"Y")</f>
        <v>27</v>
      </c>
      <c r="S404" t="str">
        <f>IF(EMP_RAW_Data[[#This Row],[Status]]=1,"Inactive","Active")</f>
        <v>Active</v>
      </c>
    </row>
    <row r="405" spans="1:19" hidden="1" x14ac:dyDescent="0.3">
      <c r="A405" s="1" t="s">
        <v>488</v>
      </c>
      <c r="B405" s="1" t="s">
        <v>96</v>
      </c>
      <c r="C405" s="1" t="s">
        <v>54</v>
      </c>
      <c r="D405" s="1" t="s">
        <v>28</v>
      </c>
      <c r="E405" s="1" t="s">
        <v>29</v>
      </c>
      <c r="F405">
        <v>43</v>
      </c>
      <c r="G405" t="s">
        <v>59</v>
      </c>
      <c r="H405" s="2">
        <v>43028</v>
      </c>
      <c r="I405">
        <v>56555</v>
      </c>
      <c r="J405">
        <v>0</v>
      </c>
      <c r="K405">
        <v>56555</v>
      </c>
      <c r="L405" s="1" t="s">
        <v>23</v>
      </c>
      <c r="M405" s="1" t="s">
        <v>43</v>
      </c>
      <c r="N405" s="2"/>
      <c r="O405">
        <v>404</v>
      </c>
      <c r="P405">
        <v>0</v>
      </c>
      <c r="Q405" t="s">
        <v>25</v>
      </c>
      <c r="R405">
        <f ca="1">DATEDIF(EMP_RAW_Data[[#This Row],[Hire Date]],IF(EMP_RAW_Data[[#This Row],[Exit Date]]="",TODAY(),EMP_RAW_Data[[#This Row],[Exit Date]]),"Y")</f>
        <v>8</v>
      </c>
      <c r="S405" t="str">
        <f>IF(EMP_RAW_Data[[#This Row],[Status]]=1,"Inactive","Active")</f>
        <v>Active</v>
      </c>
    </row>
    <row r="406" spans="1:19" hidden="1" x14ac:dyDescent="0.3">
      <c r="A406" s="1" t="s">
        <v>489</v>
      </c>
      <c r="B406" s="1" t="s">
        <v>96</v>
      </c>
      <c r="C406" s="1" t="s">
        <v>69</v>
      </c>
      <c r="D406" s="1" t="s">
        <v>28</v>
      </c>
      <c r="E406" s="1" t="s">
        <v>29</v>
      </c>
      <c r="F406">
        <v>48</v>
      </c>
      <c r="G406" t="s">
        <v>36</v>
      </c>
      <c r="H406" s="2">
        <v>38623</v>
      </c>
      <c r="I406">
        <v>74655</v>
      </c>
      <c r="J406">
        <v>0</v>
      </c>
      <c r="K406">
        <v>74655</v>
      </c>
      <c r="L406" s="1" t="s">
        <v>23</v>
      </c>
      <c r="M406" s="1" t="s">
        <v>55</v>
      </c>
      <c r="N406" s="2"/>
      <c r="O406">
        <v>405</v>
      </c>
      <c r="P406">
        <v>0</v>
      </c>
      <c r="Q406" t="s">
        <v>25</v>
      </c>
      <c r="R406">
        <f ca="1">DATEDIF(EMP_RAW_Data[[#This Row],[Hire Date]],IF(EMP_RAW_Data[[#This Row],[Exit Date]]="",TODAY(),EMP_RAW_Data[[#This Row],[Exit Date]]),"Y")</f>
        <v>20</v>
      </c>
      <c r="S406" t="str">
        <f>IF(EMP_RAW_Data[[#This Row],[Status]]=1,"Inactive","Active")</f>
        <v>Active</v>
      </c>
    </row>
    <row r="407" spans="1:19" hidden="1" x14ac:dyDescent="0.3">
      <c r="A407" s="1" t="s">
        <v>490</v>
      </c>
      <c r="B407" s="1" t="s">
        <v>192</v>
      </c>
      <c r="C407" s="1" t="s">
        <v>19</v>
      </c>
      <c r="D407" s="1" t="s">
        <v>47</v>
      </c>
      <c r="E407" s="1" t="s">
        <v>29</v>
      </c>
      <c r="F407">
        <v>48</v>
      </c>
      <c r="G407" t="s">
        <v>36</v>
      </c>
      <c r="H407" s="2">
        <v>37844</v>
      </c>
      <c r="I407">
        <v>93017</v>
      </c>
      <c r="J407">
        <v>0</v>
      </c>
      <c r="K407">
        <v>93017</v>
      </c>
      <c r="L407" s="1" t="s">
        <v>23</v>
      </c>
      <c r="M407" s="1" t="s">
        <v>24</v>
      </c>
      <c r="N407" s="2"/>
      <c r="O407">
        <v>406</v>
      </c>
      <c r="P407">
        <v>0</v>
      </c>
      <c r="Q407" t="s">
        <v>25</v>
      </c>
      <c r="R407">
        <f ca="1">DATEDIF(EMP_RAW_Data[[#This Row],[Hire Date]],IF(EMP_RAW_Data[[#This Row],[Exit Date]]="",TODAY(),EMP_RAW_Data[[#This Row],[Exit Date]]),"Y")</f>
        <v>22</v>
      </c>
      <c r="S407" t="str">
        <f>IF(EMP_RAW_Data[[#This Row],[Status]]=1,"Inactive","Active")</f>
        <v>Active</v>
      </c>
    </row>
    <row r="408" spans="1:19" hidden="1" x14ac:dyDescent="0.3">
      <c r="A408" s="1" t="s">
        <v>491</v>
      </c>
      <c r="B408" s="1" t="s">
        <v>42</v>
      </c>
      <c r="C408" s="1" t="s">
        <v>69</v>
      </c>
      <c r="D408" s="1" t="s">
        <v>28</v>
      </c>
      <c r="E408" s="1" t="s">
        <v>29</v>
      </c>
      <c r="F408">
        <v>51</v>
      </c>
      <c r="G408" t="s">
        <v>36</v>
      </c>
      <c r="H408" s="2">
        <v>41013</v>
      </c>
      <c r="I408">
        <v>82300</v>
      </c>
      <c r="J408">
        <v>0</v>
      </c>
      <c r="K408">
        <v>82300</v>
      </c>
      <c r="L408" s="1" t="s">
        <v>30</v>
      </c>
      <c r="M408" s="1" t="s">
        <v>102</v>
      </c>
      <c r="N408" s="2"/>
      <c r="O408">
        <v>407</v>
      </c>
      <c r="P408">
        <v>0</v>
      </c>
      <c r="Q408" t="s">
        <v>25</v>
      </c>
      <c r="R408">
        <f ca="1">DATEDIF(EMP_RAW_Data[[#This Row],[Hire Date]],IF(EMP_RAW_Data[[#This Row],[Exit Date]]="",TODAY(),EMP_RAW_Data[[#This Row],[Exit Date]]),"Y")</f>
        <v>13</v>
      </c>
      <c r="S408" t="str">
        <f>IF(EMP_RAW_Data[[#This Row],[Status]]=1,"Inactive","Active")</f>
        <v>Active</v>
      </c>
    </row>
    <row r="409" spans="1:19" hidden="1" x14ac:dyDescent="0.3">
      <c r="A409" s="1" t="s">
        <v>492</v>
      </c>
      <c r="B409" s="1" t="s">
        <v>126</v>
      </c>
      <c r="C409" s="1" t="s">
        <v>62</v>
      </c>
      <c r="D409" s="1" t="s">
        <v>20</v>
      </c>
      <c r="E409" s="1" t="s">
        <v>21</v>
      </c>
      <c r="F409">
        <v>46</v>
      </c>
      <c r="G409" t="s">
        <v>36</v>
      </c>
      <c r="H409" s="2">
        <v>39471</v>
      </c>
      <c r="I409">
        <v>91621</v>
      </c>
      <c r="J409">
        <v>0</v>
      </c>
      <c r="K409">
        <v>91621</v>
      </c>
      <c r="L409" s="1" t="s">
        <v>23</v>
      </c>
      <c r="M409" s="1" t="s">
        <v>37</v>
      </c>
      <c r="N409" s="2"/>
      <c r="O409">
        <v>408</v>
      </c>
      <c r="P409">
        <v>0</v>
      </c>
      <c r="Q409" t="s">
        <v>25</v>
      </c>
      <c r="R409">
        <f ca="1">DATEDIF(EMP_RAW_Data[[#This Row],[Hire Date]],IF(EMP_RAW_Data[[#This Row],[Exit Date]]="",TODAY(),EMP_RAW_Data[[#This Row],[Exit Date]]),"Y")</f>
        <v>18</v>
      </c>
      <c r="S409" t="str">
        <f>IF(EMP_RAW_Data[[#This Row],[Status]]=1,"Inactive","Active")</f>
        <v>Active</v>
      </c>
    </row>
    <row r="410" spans="1:19" hidden="1" x14ac:dyDescent="0.3">
      <c r="A410" s="1" t="s">
        <v>493</v>
      </c>
      <c r="B410" s="1" t="s">
        <v>42</v>
      </c>
      <c r="C410" s="1" t="s">
        <v>69</v>
      </c>
      <c r="D410" s="1" t="s">
        <v>20</v>
      </c>
      <c r="E410" s="1" t="s">
        <v>29</v>
      </c>
      <c r="F410">
        <v>33</v>
      </c>
      <c r="G410" t="s">
        <v>40</v>
      </c>
      <c r="H410" s="2">
        <v>41973</v>
      </c>
      <c r="I410">
        <v>91280</v>
      </c>
      <c r="J410">
        <v>0</v>
      </c>
      <c r="K410">
        <v>91280</v>
      </c>
      <c r="L410" s="1" t="s">
        <v>23</v>
      </c>
      <c r="M410" s="1" t="s">
        <v>52</v>
      </c>
      <c r="N410" s="2"/>
      <c r="O410">
        <v>409</v>
      </c>
      <c r="P410">
        <v>0</v>
      </c>
      <c r="Q410" t="s">
        <v>25</v>
      </c>
      <c r="R410">
        <f ca="1">DATEDIF(EMP_RAW_Data[[#This Row],[Hire Date]],IF(EMP_RAW_Data[[#This Row],[Exit Date]]="",TODAY(),EMP_RAW_Data[[#This Row],[Exit Date]]),"Y")</f>
        <v>11</v>
      </c>
      <c r="S410" t="str">
        <f>IF(EMP_RAW_Data[[#This Row],[Status]]=1,"Inactive","Active")</f>
        <v>Active</v>
      </c>
    </row>
    <row r="411" spans="1:19" hidden="1" x14ac:dyDescent="0.3">
      <c r="A411" s="1" t="s">
        <v>494</v>
      </c>
      <c r="B411" s="1" t="s">
        <v>130</v>
      </c>
      <c r="C411" s="1" t="s">
        <v>58</v>
      </c>
      <c r="D411" s="1" t="s">
        <v>28</v>
      </c>
      <c r="E411" s="1" t="s">
        <v>21</v>
      </c>
      <c r="F411">
        <v>42</v>
      </c>
      <c r="G411" t="s">
        <v>59</v>
      </c>
      <c r="H411" s="2">
        <v>44092</v>
      </c>
      <c r="I411">
        <v>47071</v>
      </c>
      <c r="J411">
        <v>0</v>
      </c>
      <c r="K411">
        <v>47071</v>
      </c>
      <c r="L411" s="1" t="s">
        <v>23</v>
      </c>
      <c r="M411" s="1" t="s">
        <v>74</v>
      </c>
      <c r="N411" s="2"/>
      <c r="O411">
        <v>410</v>
      </c>
      <c r="P411">
        <v>0</v>
      </c>
      <c r="Q411" t="s">
        <v>25</v>
      </c>
      <c r="R411">
        <f ca="1">DATEDIF(EMP_RAW_Data[[#This Row],[Hire Date]],IF(EMP_RAW_Data[[#This Row],[Exit Date]]="",TODAY(),EMP_RAW_Data[[#This Row],[Exit Date]]),"Y")</f>
        <v>5</v>
      </c>
      <c r="S411" t="str">
        <f>IF(EMP_RAW_Data[[#This Row],[Status]]=1,"Inactive","Active")</f>
        <v>Active</v>
      </c>
    </row>
    <row r="412" spans="1:19" hidden="1" x14ac:dyDescent="0.3">
      <c r="A412" s="1" t="s">
        <v>495</v>
      </c>
      <c r="B412" s="1" t="s">
        <v>267</v>
      </c>
      <c r="C412" s="1" t="s">
        <v>19</v>
      </c>
      <c r="D412" s="1" t="s">
        <v>28</v>
      </c>
      <c r="E412" s="1" t="s">
        <v>21</v>
      </c>
      <c r="F412">
        <v>55</v>
      </c>
      <c r="G412" t="s">
        <v>22</v>
      </c>
      <c r="H412" s="2">
        <v>40868</v>
      </c>
      <c r="I412">
        <v>81218</v>
      </c>
      <c r="J412">
        <v>0</v>
      </c>
      <c r="K412">
        <v>81218</v>
      </c>
      <c r="L412" s="1" t="s">
        <v>23</v>
      </c>
      <c r="M412" s="1" t="s">
        <v>37</v>
      </c>
      <c r="N412" s="2"/>
      <c r="O412">
        <v>411</v>
      </c>
      <c r="P412">
        <v>0</v>
      </c>
      <c r="Q412" t="s">
        <v>25</v>
      </c>
      <c r="R412">
        <f ca="1">DATEDIF(EMP_RAW_Data[[#This Row],[Hire Date]],IF(EMP_RAW_Data[[#This Row],[Exit Date]]="",TODAY(),EMP_RAW_Data[[#This Row],[Exit Date]]),"Y")</f>
        <v>14</v>
      </c>
      <c r="S412" t="str">
        <f>IF(EMP_RAW_Data[[#This Row],[Status]]=1,"Inactive","Active")</f>
        <v>Active</v>
      </c>
    </row>
    <row r="413" spans="1:19" x14ac:dyDescent="0.3">
      <c r="A413" s="1" t="s">
        <v>496</v>
      </c>
      <c r="B413" s="1" t="s">
        <v>68</v>
      </c>
      <c r="C413" s="1" t="s">
        <v>62</v>
      </c>
      <c r="D413" s="1" t="s">
        <v>28</v>
      </c>
      <c r="E413" s="1" t="s">
        <v>21</v>
      </c>
      <c r="F413">
        <v>50</v>
      </c>
      <c r="G413" t="s">
        <v>36</v>
      </c>
      <c r="H413" s="2">
        <v>39734</v>
      </c>
      <c r="I413">
        <v>181801</v>
      </c>
      <c r="J413">
        <v>0.4</v>
      </c>
      <c r="K413">
        <v>254521.40000000002</v>
      </c>
      <c r="L413" s="1" t="s">
        <v>30</v>
      </c>
      <c r="M413" s="1" t="s">
        <v>31</v>
      </c>
      <c r="N413" s="2">
        <v>43810</v>
      </c>
      <c r="O413">
        <v>412</v>
      </c>
      <c r="P413">
        <v>1</v>
      </c>
      <c r="Q413" t="s">
        <v>25</v>
      </c>
      <c r="R413">
        <f ca="1">DATEDIF(EMP_RAW_Data[[#This Row],[Hire Date]],IF(EMP_RAW_Data[[#This Row],[Exit Date]]="",TODAY(),EMP_RAW_Data[[#This Row],[Exit Date]]),"Y")</f>
        <v>11</v>
      </c>
      <c r="S413" t="str">
        <f>IF(EMP_RAW_Data[[#This Row],[Status]]=1,"Inactive","Active")</f>
        <v>Inactive</v>
      </c>
    </row>
    <row r="414" spans="1:19" hidden="1" x14ac:dyDescent="0.3">
      <c r="A414" s="1" t="s">
        <v>497</v>
      </c>
      <c r="B414" s="1" t="s">
        <v>45</v>
      </c>
      <c r="C414" s="1" t="s">
        <v>46</v>
      </c>
      <c r="D414" s="1" t="s">
        <v>28</v>
      </c>
      <c r="E414" s="1" t="s">
        <v>21</v>
      </c>
      <c r="F414">
        <v>26</v>
      </c>
      <c r="G414" t="s">
        <v>40</v>
      </c>
      <c r="H414" s="2">
        <v>44521</v>
      </c>
      <c r="I414">
        <v>63137</v>
      </c>
      <c r="J414">
        <v>0</v>
      </c>
      <c r="K414">
        <v>63137</v>
      </c>
      <c r="L414" s="1" t="s">
        <v>23</v>
      </c>
      <c r="M414" s="1" t="s">
        <v>37</v>
      </c>
      <c r="N414" s="2"/>
      <c r="O414">
        <v>413</v>
      </c>
      <c r="P414">
        <v>0</v>
      </c>
      <c r="Q414" t="s">
        <v>25</v>
      </c>
      <c r="R414">
        <f ca="1">DATEDIF(EMP_RAW_Data[[#This Row],[Hire Date]],IF(EMP_RAW_Data[[#This Row],[Exit Date]]="",TODAY(),EMP_RAW_Data[[#This Row],[Exit Date]]),"Y")</f>
        <v>4</v>
      </c>
      <c r="S414" t="str">
        <f>IF(EMP_RAW_Data[[#This Row],[Status]]=1,"Inactive","Active")</f>
        <v>Active</v>
      </c>
    </row>
    <row r="415" spans="1:19" hidden="1" x14ac:dyDescent="0.3">
      <c r="A415" s="1" t="s">
        <v>498</v>
      </c>
      <c r="B415" s="1" t="s">
        <v>68</v>
      </c>
      <c r="C415" s="1" t="s">
        <v>62</v>
      </c>
      <c r="D415" s="1" t="s">
        <v>28</v>
      </c>
      <c r="E415" s="1" t="s">
        <v>21</v>
      </c>
      <c r="F415">
        <v>55</v>
      </c>
      <c r="G415" t="s">
        <v>22</v>
      </c>
      <c r="H415" s="2">
        <v>43345</v>
      </c>
      <c r="I415">
        <v>221465</v>
      </c>
      <c r="J415">
        <v>0.34</v>
      </c>
      <c r="K415">
        <v>296763.09999999998</v>
      </c>
      <c r="L415" s="1" t="s">
        <v>30</v>
      </c>
      <c r="M415" s="1" t="s">
        <v>102</v>
      </c>
      <c r="N415" s="2"/>
      <c r="O415">
        <v>414</v>
      </c>
      <c r="P415">
        <v>0</v>
      </c>
      <c r="Q415" t="s">
        <v>25</v>
      </c>
      <c r="R415">
        <f ca="1">DATEDIF(EMP_RAW_Data[[#This Row],[Hire Date]],IF(EMP_RAW_Data[[#This Row],[Exit Date]]="",TODAY(),EMP_RAW_Data[[#This Row],[Exit Date]]),"Y")</f>
        <v>7</v>
      </c>
      <c r="S415" t="str">
        <f>IF(EMP_RAW_Data[[#This Row],[Status]]=1,"Inactive","Active")</f>
        <v>Active</v>
      </c>
    </row>
    <row r="416" spans="1:19" x14ac:dyDescent="0.3">
      <c r="A416" s="1" t="s">
        <v>499</v>
      </c>
      <c r="B416" s="1" t="s">
        <v>86</v>
      </c>
      <c r="C416" s="1" t="s">
        <v>62</v>
      </c>
      <c r="D416" s="1" t="s">
        <v>20</v>
      </c>
      <c r="E416" s="1" t="s">
        <v>21</v>
      </c>
      <c r="F416">
        <v>50</v>
      </c>
      <c r="G416" t="s">
        <v>36</v>
      </c>
      <c r="H416" s="2">
        <v>41404</v>
      </c>
      <c r="I416">
        <v>79388</v>
      </c>
      <c r="J416">
        <v>0</v>
      </c>
      <c r="K416">
        <v>79388</v>
      </c>
      <c r="L416" s="1" t="s">
        <v>23</v>
      </c>
      <c r="M416" s="1" t="s">
        <v>55</v>
      </c>
      <c r="N416" s="2">
        <v>43681</v>
      </c>
      <c r="O416">
        <v>415</v>
      </c>
      <c r="P416">
        <v>1</v>
      </c>
      <c r="Q416" t="s">
        <v>25</v>
      </c>
      <c r="R416">
        <f ca="1">DATEDIF(EMP_RAW_Data[[#This Row],[Hire Date]],IF(EMP_RAW_Data[[#This Row],[Exit Date]]="",TODAY(),EMP_RAW_Data[[#This Row],[Exit Date]]),"Y")</f>
        <v>6</v>
      </c>
      <c r="S416" t="str">
        <f>IF(EMP_RAW_Data[[#This Row],[Status]]=1,"Inactive","Active")</f>
        <v>Inactive</v>
      </c>
    </row>
    <row r="417" spans="1:19" hidden="1" x14ac:dyDescent="0.3">
      <c r="A417" s="1" t="s">
        <v>500</v>
      </c>
      <c r="B417" s="1" t="s">
        <v>230</v>
      </c>
      <c r="C417" s="1" t="s">
        <v>19</v>
      </c>
      <c r="D417" s="1" t="s">
        <v>28</v>
      </c>
      <c r="E417" s="1" t="s">
        <v>21</v>
      </c>
      <c r="F417">
        <v>28</v>
      </c>
      <c r="G417" t="s">
        <v>40</v>
      </c>
      <c r="H417" s="2">
        <v>43122</v>
      </c>
      <c r="I417">
        <v>68176</v>
      </c>
      <c r="J417">
        <v>0</v>
      </c>
      <c r="K417">
        <v>68176</v>
      </c>
      <c r="L417" s="1" t="s">
        <v>23</v>
      </c>
      <c r="M417" s="1" t="s">
        <v>24</v>
      </c>
      <c r="N417" s="2"/>
      <c r="O417">
        <v>416</v>
      </c>
      <c r="P417">
        <v>0</v>
      </c>
      <c r="Q417" t="s">
        <v>25</v>
      </c>
      <c r="R417">
        <f ca="1">DATEDIF(EMP_RAW_Data[[#This Row],[Hire Date]],IF(EMP_RAW_Data[[#This Row],[Exit Date]]="",TODAY(),EMP_RAW_Data[[#This Row],[Exit Date]]),"Y")</f>
        <v>8</v>
      </c>
      <c r="S417" t="str">
        <f>IF(EMP_RAW_Data[[#This Row],[Status]]=1,"Inactive","Active")</f>
        <v>Active</v>
      </c>
    </row>
    <row r="418" spans="1:19" hidden="1" x14ac:dyDescent="0.3">
      <c r="A418" s="1" t="s">
        <v>501</v>
      </c>
      <c r="B418" s="1" t="s">
        <v>18</v>
      </c>
      <c r="C418" s="1" t="s">
        <v>34</v>
      </c>
      <c r="D418" s="1" t="s">
        <v>20</v>
      </c>
      <c r="E418" s="1" t="s">
        <v>21</v>
      </c>
      <c r="F418">
        <v>39</v>
      </c>
      <c r="G418" t="s">
        <v>59</v>
      </c>
      <c r="H418" s="2">
        <v>43756</v>
      </c>
      <c r="I418">
        <v>122829</v>
      </c>
      <c r="J418">
        <v>0.11</v>
      </c>
      <c r="K418">
        <v>136340.19</v>
      </c>
      <c r="L418" s="1" t="s">
        <v>23</v>
      </c>
      <c r="M418" s="1" t="s">
        <v>37</v>
      </c>
      <c r="N418" s="2"/>
      <c r="O418">
        <v>417</v>
      </c>
      <c r="P418">
        <v>0</v>
      </c>
      <c r="Q418" t="s">
        <v>25</v>
      </c>
      <c r="R418">
        <f ca="1">DATEDIF(EMP_RAW_Data[[#This Row],[Hire Date]],IF(EMP_RAW_Data[[#This Row],[Exit Date]]="",TODAY(),EMP_RAW_Data[[#This Row],[Exit Date]]),"Y")</f>
        <v>6</v>
      </c>
      <c r="S418" t="str">
        <f>IF(EMP_RAW_Data[[#This Row],[Status]]=1,"Inactive","Active")</f>
        <v>Active</v>
      </c>
    </row>
    <row r="419" spans="1:19" hidden="1" x14ac:dyDescent="0.3">
      <c r="A419" s="1" t="s">
        <v>502</v>
      </c>
      <c r="B419" s="1" t="s">
        <v>18</v>
      </c>
      <c r="C419" s="1" t="s">
        <v>69</v>
      </c>
      <c r="D419" s="1" t="s">
        <v>35</v>
      </c>
      <c r="E419" s="1" t="s">
        <v>21</v>
      </c>
      <c r="F419">
        <v>31</v>
      </c>
      <c r="G419" t="s">
        <v>40</v>
      </c>
      <c r="H419" s="2">
        <v>43695</v>
      </c>
      <c r="I419">
        <v>126353</v>
      </c>
      <c r="J419">
        <v>0.12</v>
      </c>
      <c r="K419">
        <v>141515.35999999999</v>
      </c>
      <c r="L419" s="1" t="s">
        <v>30</v>
      </c>
      <c r="M419" s="1" t="s">
        <v>65</v>
      </c>
      <c r="N419" s="2"/>
      <c r="O419">
        <v>418</v>
      </c>
      <c r="P419">
        <v>0</v>
      </c>
      <c r="Q419" t="s">
        <v>25</v>
      </c>
      <c r="R419">
        <f ca="1">DATEDIF(EMP_RAW_Data[[#This Row],[Hire Date]],IF(EMP_RAW_Data[[#This Row],[Exit Date]]="",TODAY(),EMP_RAW_Data[[#This Row],[Exit Date]]),"Y")</f>
        <v>6</v>
      </c>
      <c r="S419" t="str">
        <f>IF(EMP_RAW_Data[[#This Row],[Status]]=1,"Inactive","Active")</f>
        <v>Active</v>
      </c>
    </row>
    <row r="420" spans="1:19" hidden="1" x14ac:dyDescent="0.3">
      <c r="A420" s="1" t="s">
        <v>503</v>
      </c>
      <c r="B420" s="1" t="s">
        <v>33</v>
      </c>
      <c r="C420" s="1" t="s">
        <v>54</v>
      </c>
      <c r="D420" s="1" t="s">
        <v>35</v>
      </c>
      <c r="E420" s="1" t="s">
        <v>21</v>
      </c>
      <c r="F420">
        <v>55</v>
      </c>
      <c r="G420" t="s">
        <v>22</v>
      </c>
      <c r="H420" s="2">
        <v>40468</v>
      </c>
      <c r="I420">
        <v>188727</v>
      </c>
      <c r="J420">
        <v>0.23</v>
      </c>
      <c r="K420">
        <v>232134.21</v>
      </c>
      <c r="L420" s="1" t="s">
        <v>30</v>
      </c>
      <c r="M420" s="1" t="s">
        <v>102</v>
      </c>
      <c r="N420" s="2"/>
      <c r="O420">
        <v>419</v>
      </c>
      <c r="P420">
        <v>0</v>
      </c>
      <c r="Q420" t="s">
        <v>25</v>
      </c>
      <c r="R420">
        <f ca="1">DATEDIF(EMP_RAW_Data[[#This Row],[Hire Date]],IF(EMP_RAW_Data[[#This Row],[Exit Date]]="",TODAY(),EMP_RAW_Data[[#This Row],[Exit Date]]),"Y")</f>
        <v>15</v>
      </c>
      <c r="S420" t="str">
        <f>IF(EMP_RAW_Data[[#This Row],[Status]]=1,"Inactive","Active")</f>
        <v>Active</v>
      </c>
    </row>
    <row r="421" spans="1:19" hidden="1" x14ac:dyDescent="0.3">
      <c r="A421" s="1" t="s">
        <v>504</v>
      </c>
      <c r="B421" s="1" t="s">
        <v>42</v>
      </c>
      <c r="C421" s="1" t="s">
        <v>46</v>
      </c>
      <c r="D421" s="1" t="s">
        <v>20</v>
      </c>
      <c r="E421" s="1" t="s">
        <v>29</v>
      </c>
      <c r="F421">
        <v>52</v>
      </c>
      <c r="G421" t="s">
        <v>36</v>
      </c>
      <c r="H421" s="2">
        <v>34383</v>
      </c>
      <c r="I421">
        <v>99624</v>
      </c>
      <c r="J421">
        <v>0</v>
      </c>
      <c r="K421">
        <v>99624</v>
      </c>
      <c r="L421" s="1" t="s">
        <v>23</v>
      </c>
      <c r="M421" s="1" t="s">
        <v>24</v>
      </c>
      <c r="N421" s="2"/>
      <c r="O421">
        <v>420</v>
      </c>
      <c r="P421">
        <v>0</v>
      </c>
      <c r="Q421" t="s">
        <v>25</v>
      </c>
      <c r="R421">
        <f ca="1">DATEDIF(EMP_RAW_Data[[#This Row],[Hire Date]],IF(EMP_RAW_Data[[#This Row],[Exit Date]]="",TODAY(),EMP_RAW_Data[[#This Row],[Exit Date]]),"Y")</f>
        <v>32</v>
      </c>
      <c r="S421" t="str">
        <f>IF(EMP_RAW_Data[[#This Row],[Status]]=1,"Inactive","Active")</f>
        <v>Active</v>
      </c>
    </row>
    <row r="422" spans="1:19" hidden="1" x14ac:dyDescent="0.3">
      <c r="A422" s="1" t="s">
        <v>505</v>
      </c>
      <c r="B422" s="1" t="s">
        <v>49</v>
      </c>
      <c r="C422" s="1" t="s">
        <v>46</v>
      </c>
      <c r="D422" s="1" t="s">
        <v>35</v>
      </c>
      <c r="E422" s="1" t="s">
        <v>21</v>
      </c>
      <c r="F422">
        <v>55</v>
      </c>
      <c r="G422" t="s">
        <v>22</v>
      </c>
      <c r="H422" s="2">
        <v>41202</v>
      </c>
      <c r="I422">
        <v>108686</v>
      </c>
      <c r="J422">
        <v>0.06</v>
      </c>
      <c r="K422">
        <v>115207.16</v>
      </c>
      <c r="L422" s="1" t="s">
        <v>23</v>
      </c>
      <c r="M422" s="1" t="s">
        <v>74</v>
      </c>
      <c r="N422" s="2"/>
      <c r="O422">
        <v>421</v>
      </c>
      <c r="P422">
        <v>0</v>
      </c>
      <c r="Q422" t="s">
        <v>25</v>
      </c>
      <c r="R422">
        <f ca="1">DATEDIF(EMP_RAW_Data[[#This Row],[Hire Date]],IF(EMP_RAW_Data[[#This Row],[Exit Date]]="",TODAY(),EMP_RAW_Data[[#This Row],[Exit Date]]),"Y")</f>
        <v>13</v>
      </c>
      <c r="S422" t="str">
        <f>IF(EMP_RAW_Data[[#This Row],[Status]]=1,"Inactive","Active")</f>
        <v>Active</v>
      </c>
    </row>
    <row r="423" spans="1:19" hidden="1" x14ac:dyDescent="0.3">
      <c r="A423" s="1" t="s">
        <v>506</v>
      </c>
      <c r="B423" s="1" t="s">
        <v>51</v>
      </c>
      <c r="C423" s="1" t="s">
        <v>54</v>
      </c>
      <c r="D423" s="1" t="s">
        <v>47</v>
      </c>
      <c r="E423" s="1" t="s">
        <v>21</v>
      </c>
      <c r="F423">
        <v>56</v>
      </c>
      <c r="G423" t="s">
        <v>22</v>
      </c>
      <c r="H423" s="2">
        <v>34802</v>
      </c>
      <c r="I423">
        <v>50857</v>
      </c>
      <c r="J423">
        <v>0</v>
      </c>
      <c r="K423">
        <v>50857</v>
      </c>
      <c r="L423" s="1" t="s">
        <v>77</v>
      </c>
      <c r="M423" s="1" t="s">
        <v>78</v>
      </c>
      <c r="N423" s="2"/>
      <c r="O423">
        <v>422</v>
      </c>
      <c r="P423">
        <v>0</v>
      </c>
      <c r="Q423" t="s">
        <v>25</v>
      </c>
      <c r="R423">
        <f ca="1">DATEDIF(EMP_RAW_Data[[#This Row],[Hire Date]],IF(EMP_RAW_Data[[#This Row],[Exit Date]]="",TODAY(),EMP_RAW_Data[[#This Row],[Exit Date]]),"Y")</f>
        <v>30</v>
      </c>
      <c r="S423" t="str">
        <f>IF(EMP_RAW_Data[[#This Row],[Status]]=1,"Inactive","Active")</f>
        <v>Active</v>
      </c>
    </row>
    <row r="424" spans="1:19" hidden="1" x14ac:dyDescent="0.3">
      <c r="A424" s="1" t="s">
        <v>507</v>
      </c>
      <c r="B424" s="1" t="s">
        <v>128</v>
      </c>
      <c r="C424" s="1" t="s">
        <v>62</v>
      </c>
      <c r="D424" s="1" t="s">
        <v>28</v>
      </c>
      <c r="E424" s="1" t="s">
        <v>29</v>
      </c>
      <c r="F424">
        <v>47</v>
      </c>
      <c r="G424" t="s">
        <v>36</v>
      </c>
      <c r="H424" s="2">
        <v>36893</v>
      </c>
      <c r="I424">
        <v>120628</v>
      </c>
      <c r="J424">
        <v>0</v>
      </c>
      <c r="K424">
        <v>120628</v>
      </c>
      <c r="L424" s="1" t="s">
        <v>23</v>
      </c>
      <c r="M424" s="1" t="s">
        <v>37</v>
      </c>
      <c r="N424" s="2"/>
      <c r="O424">
        <v>423</v>
      </c>
      <c r="P424">
        <v>0</v>
      </c>
      <c r="Q424" t="s">
        <v>25</v>
      </c>
      <c r="R424">
        <f ca="1">DATEDIF(EMP_RAW_Data[[#This Row],[Hire Date]],IF(EMP_RAW_Data[[#This Row],[Exit Date]]="",TODAY(),EMP_RAW_Data[[#This Row],[Exit Date]]),"Y")</f>
        <v>25</v>
      </c>
      <c r="S424" t="str">
        <f>IF(EMP_RAW_Data[[#This Row],[Status]]=1,"Inactive","Active")</f>
        <v>Active</v>
      </c>
    </row>
    <row r="425" spans="1:19" hidden="1" x14ac:dyDescent="0.3">
      <c r="A425" s="1" t="s">
        <v>508</v>
      </c>
      <c r="B425" s="1" t="s">
        <v>33</v>
      </c>
      <c r="C425" s="1" t="s">
        <v>46</v>
      </c>
      <c r="D425" s="1" t="s">
        <v>35</v>
      </c>
      <c r="E425" s="1" t="s">
        <v>21</v>
      </c>
      <c r="F425">
        <v>63</v>
      </c>
      <c r="G425" t="s">
        <v>22</v>
      </c>
      <c r="H425" s="2">
        <v>43996</v>
      </c>
      <c r="I425">
        <v>181216</v>
      </c>
      <c r="J425">
        <v>0.27</v>
      </c>
      <c r="K425">
        <v>230144.32</v>
      </c>
      <c r="L425" s="1" t="s">
        <v>23</v>
      </c>
      <c r="M425" s="1" t="s">
        <v>74</v>
      </c>
      <c r="N425" s="2"/>
      <c r="O425">
        <v>424</v>
      </c>
      <c r="P425">
        <v>0</v>
      </c>
      <c r="Q425" t="s">
        <v>25</v>
      </c>
      <c r="R425">
        <f ca="1">DATEDIF(EMP_RAW_Data[[#This Row],[Hire Date]],IF(EMP_RAW_Data[[#This Row],[Exit Date]]="",TODAY(),EMP_RAW_Data[[#This Row],[Exit Date]]),"Y")</f>
        <v>5</v>
      </c>
      <c r="S425" t="str">
        <f>IF(EMP_RAW_Data[[#This Row],[Status]]=1,"Inactive","Active")</f>
        <v>Active</v>
      </c>
    </row>
    <row r="426" spans="1:19" hidden="1" x14ac:dyDescent="0.3">
      <c r="A426" s="1" t="s">
        <v>509</v>
      </c>
      <c r="B426" s="1" t="s">
        <v>51</v>
      </c>
      <c r="C426" s="1" t="s">
        <v>34</v>
      </c>
      <c r="D426" s="1" t="s">
        <v>47</v>
      </c>
      <c r="E426" s="1" t="s">
        <v>21</v>
      </c>
      <c r="F426">
        <v>63</v>
      </c>
      <c r="G426" t="s">
        <v>22</v>
      </c>
      <c r="H426" s="2">
        <v>40984</v>
      </c>
      <c r="I426">
        <v>46081</v>
      </c>
      <c r="J426">
        <v>0</v>
      </c>
      <c r="K426">
        <v>46081</v>
      </c>
      <c r="L426" s="1" t="s">
        <v>23</v>
      </c>
      <c r="M426" s="1" t="s">
        <v>37</v>
      </c>
      <c r="N426" s="2"/>
      <c r="O426">
        <v>425</v>
      </c>
      <c r="P426">
        <v>0</v>
      </c>
      <c r="Q426" t="s">
        <v>25</v>
      </c>
      <c r="R426">
        <f ca="1">DATEDIF(EMP_RAW_Data[[#This Row],[Hire Date]],IF(EMP_RAW_Data[[#This Row],[Exit Date]]="",TODAY(),EMP_RAW_Data[[#This Row],[Exit Date]]),"Y")</f>
        <v>14</v>
      </c>
      <c r="S426" t="str">
        <f>IF(EMP_RAW_Data[[#This Row],[Status]]=1,"Inactive","Active")</f>
        <v>Active</v>
      </c>
    </row>
    <row r="427" spans="1:19" hidden="1" x14ac:dyDescent="0.3">
      <c r="A427" s="1" t="s">
        <v>510</v>
      </c>
      <c r="B427" s="1" t="s">
        <v>18</v>
      </c>
      <c r="C427" s="1" t="s">
        <v>54</v>
      </c>
      <c r="D427" s="1" t="s">
        <v>47</v>
      </c>
      <c r="E427" s="1" t="s">
        <v>21</v>
      </c>
      <c r="F427">
        <v>55</v>
      </c>
      <c r="G427" t="s">
        <v>22</v>
      </c>
      <c r="H427" s="2">
        <v>38135</v>
      </c>
      <c r="I427">
        <v>159885</v>
      </c>
      <c r="J427">
        <v>0.12</v>
      </c>
      <c r="K427">
        <v>179071.2</v>
      </c>
      <c r="L427" s="1" t="s">
        <v>23</v>
      </c>
      <c r="M427" s="1" t="s">
        <v>74</v>
      </c>
      <c r="N427" s="2"/>
      <c r="O427">
        <v>426</v>
      </c>
      <c r="P427">
        <v>0</v>
      </c>
      <c r="Q427" t="s">
        <v>25</v>
      </c>
      <c r="R427">
        <f ca="1">DATEDIF(EMP_RAW_Data[[#This Row],[Hire Date]],IF(EMP_RAW_Data[[#This Row],[Exit Date]]="",TODAY(),EMP_RAW_Data[[#This Row],[Exit Date]]),"Y")</f>
        <v>21</v>
      </c>
      <c r="S427" t="str">
        <f>IF(EMP_RAW_Data[[#This Row],[Status]]=1,"Inactive","Active")</f>
        <v>Active</v>
      </c>
    </row>
    <row r="428" spans="1:19" hidden="1" x14ac:dyDescent="0.3">
      <c r="A428" s="1" t="s">
        <v>511</v>
      </c>
      <c r="B428" s="1" t="s">
        <v>33</v>
      </c>
      <c r="C428" s="1" t="s">
        <v>46</v>
      </c>
      <c r="D428" s="1" t="s">
        <v>28</v>
      </c>
      <c r="E428" s="1" t="s">
        <v>21</v>
      </c>
      <c r="F428">
        <v>55</v>
      </c>
      <c r="G428" t="s">
        <v>22</v>
      </c>
      <c r="H428" s="2">
        <v>35001</v>
      </c>
      <c r="I428">
        <v>153271</v>
      </c>
      <c r="J428">
        <v>0.15</v>
      </c>
      <c r="K428">
        <v>176261.65</v>
      </c>
      <c r="L428" s="1" t="s">
        <v>23</v>
      </c>
      <c r="M428" s="1" t="s">
        <v>55</v>
      </c>
      <c r="N428" s="2"/>
      <c r="O428">
        <v>427</v>
      </c>
      <c r="P428">
        <v>0</v>
      </c>
      <c r="Q428" t="s">
        <v>25</v>
      </c>
      <c r="R428">
        <f ca="1">DATEDIF(EMP_RAW_Data[[#This Row],[Hire Date]],IF(EMP_RAW_Data[[#This Row],[Exit Date]]="",TODAY(),EMP_RAW_Data[[#This Row],[Exit Date]]),"Y")</f>
        <v>30</v>
      </c>
      <c r="S428" t="str">
        <f>IF(EMP_RAW_Data[[#This Row],[Status]]=1,"Inactive","Active")</f>
        <v>Active</v>
      </c>
    </row>
    <row r="429" spans="1:19" hidden="1" x14ac:dyDescent="0.3">
      <c r="A429" s="1" t="s">
        <v>512</v>
      </c>
      <c r="B429" s="1" t="s">
        <v>49</v>
      </c>
      <c r="C429" s="1" t="s">
        <v>58</v>
      </c>
      <c r="D429" s="1" t="s">
        <v>28</v>
      </c>
      <c r="E429" s="1" t="s">
        <v>29</v>
      </c>
      <c r="F429">
        <v>42</v>
      </c>
      <c r="G429" t="s">
        <v>59</v>
      </c>
      <c r="H429" s="2">
        <v>40159</v>
      </c>
      <c r="I429">
        <v>114242</v>
      </c>
      <c r="J429">
        <v>0.08</v>
      </c>
      <c r="K429">
        <v>123381.36</v>
      </c>
      <c r="L429" s="1" t="s">
        <v>23</v>
      </c>
      <c r="M429" s="1" t="s">
        <v>43</v>
      </c>
      <c r="N429" s="2"/>
      <c r="O429">
        <v>428</v>
      </c>
      <c r="P429">
        <v>0</v>
      </c>
      <c r="Q429" t="s">
        <v>25</v>
      </c>
      <c r="R429">
        <f ca="1">DATEDIF(EMP_RAW_Data[[#This Row],[Hire Date]],IF(EMP_RAW_Data[[#This Row],[Exit Date]]="",TODAY(),EMP_RAW_Data[[#This Row],[Exit Date]]),"Y")</f>
        <v>16</v>
      </c>
      <c r="S429" t="str">
        <f>IF(EMP_RAW_Data[[#This Row],[Status]]=1,"Inactive","Active")</f>
        <v>Active</v>
      </c>
    </row>
    <row r="430" spans="1:19" hidden="1" x14ac:dyDescent="0.3">
      <c r="A430" s="1" t="s">
        <v>513</v>
      </c>
      <c r="B430" s="1" t="s">
        <v>93</v>
      </c>
      <c r="C430" s="1" t="s">
        <v>19</v>
      </c>
      <c r="D430" s="1" t="s">
        <v>35</v>
      </c>
      <c r="E430" s="1" t="s">
        <v>21</v>
      </c>
      <c r="F430">
        <v>39</v>
      </c>
      <c r="G430" t="s">
        <v>59</v>
      </c>
      <c r="H430" s="2">
        <v>44153</v>
      </c>
      <c r="I430">
        <v>48415</v>
      </c>
      <c r="J430">
        <v>0</v>
      </c>
      <c r="K430">
        <v>48415</v>
      </c>
      <c r="L430" s="1" t="s">
        <v>30</v>
      </c>
      <c r="M430" s="1" t="s">
        <v>65</v>
      </c>
      <c r="N430" s="2"/>
      <c r="O430">
        <v>429</v>
      </c>
      <c r="P430">
        <v>0</v>
      </c>
      <c r="Q430" t="s">
        <v>25</v>
      </c>
      <c r="R430">
        <f ca="1">DATEDIF(EMP_RAW_Data[[#This Row],[Hire Date]],IF(EMP_RAW_Data[[#This Row],[Exit Date]]="",TODAY(),EMP_RAW_Data[[#This Row],[Exit Date]]),"Y")</f>
        <v>5</v>
      </c>
      <c r="S430" t="str">
        <f>IF(EMP_RAW_Data[[#This Row],[Status]]=1,"Inactive","Active")</f>
        <v>Active</v>
      </c>
    </row>
    <row r="431" spans="1:19" hidden="1" x14ac:dyDescent="0.3">
      <c r="A431" s="1" t="s">
        <v>514</v>
      </c>
      <c r="B431" s="1" t="s">
        <v>180</v>
      </c>
      <c r="C431" s="1" t="s">
        <v>62</v>
      </c>
      <c r="D431" s="1" t="s">
        <v>28</v>
      </c>
      <c r="E431" s="1" t="s">
        <v>29</v>
      </c>
      <c r="F431">
        <v>35</v>
      </c>
      <c r="G431" t="s">
        <v>59</v>
      </c>
      <c r="H431" s="2">
        <v>42878</v>
      </c>
      <c r="I431">
        <v>65566</v>
      </c>
      <c r="J431">
        <v>0</v>
      </c>
      <c r="K431">
        <v>65566</v>
      </c>
      <c r="L431" s="1" t="s">
        <v>23</v>
      </c>
      <c r="M431" s="1" t="s">
        <v>24</v>
      </c>
      <c r="N431" s="2"/>
      <c r="O431">
        <v>430</v>
      </c>
      <c r="P431">
        <v>0</v>
      </c>
      <c r="Q431" t="s">
        <v>25</v>
      </c>
      <c r="R431">
        <f ca="1">DATEDIF(EMP_RAW_Data[[#This Row],[Hire Date]],IF(EMP_RAW_Data[[#This Row],[Exit Date]]="",TODAY(),EMP_RAW_Data[[#This Row],[Exit Date]]),"Y")</f>
        <v>8</v>
      </c>
      <c r="S431" t="str">
        <f>IF(EMP_RAW_Data[[#This Row],[Status]]=1,"Inactive","Active")</f>
        <v>Active</v>
      </c>
    </row>
    <row r="432" spans="1:19" x14ac:dyDescent="0.3">
      <c r="A432" s="1" t="s">
        <v>515</v>
      </c>
      <c r="B432" s="1" t="s">
        <v>18</v>
      </c>
      <c r="C432" s="1" t="s">
        <v>69</v>
      </c>
      <c r="D432" s="1" t="s">
        <v>20</v>
      </c>
      <c r="E432" s="1" t="s">
        <v>29</v>
      </c>
      <c r="F432">
        <v>45</v>
      </c>
      <c r="G432" t="s">
        <v>36</v>
      </c>
      <c r="H432" s="2">
        <v>37014</v>
      </c>
      <c r="I432">
        <v>147752</v>
      </c>
      <c r="J432">
        <v>0.12</v>
      </c>
      <c r="K432">
        <v>165482.23999999999</v>
      </c>
      <c r="L432" s="1" t="s">
        <v>30</v>
      </c>
      <c r="M432" s="1" t="s">
        <v>65</v>
      </c>
      <c r="N432" s="2">
        <v>40903</v>
      </c>
      <c r="O432">
        <v>431</v>
      </c>
      <c r="P432">
        <v>1</v>
      </c>
      <c r="Q432" t="s">
        <v>25</v>
      </c>
      <c r="R432">
        <f ca="1">DATEDIF(EMP_RAW_Data[[#This Row],[Hire Date]],IF(EMP_RAW_Data[[#This Row],[Exit Date]]="",TODAY(),EMP_RAW_Data[[#This Row],[Exit Date]]),"Y")</f>
        <v>10</v>
      </c>
      <c r="S432" t="str">
        <f>IF(EMP_RAW_Data[[#This Row],[Status]]=1,"Inactive","Active")</f>
        <v>Inactive</v>
      </c>
    </row>
    <row r="433" spans="1:19" hidden="1" x14ac:dyDescent="0.3">
      <c r="A433" s="1" t="s">
        <v>516</v>
      </c>
      <c r="B433" s="1" t="s">
        <v>18</v>
      </c>
      <c r="C433" s="1" t="s">
        <v>69</v>
      </c>
      <c r="D433" s="1" t="s">
        <v>28</v>
      </c>
      <c r="E433" s="1" t="s">
        <v>21</v>
      </c>
      <c r="F433">
        <v>25</v>
      </c>
      <c r="G433" t="s">
        <v>40</v>
      </c>
      <c r="H433" s="2">
        <v>44453</v>
      </c>
      <c r="I433">
        <v>136810</v>
      </c>
      <c r="J433">
        <v>0.14000000000000001</v>
      </c>
      <c r="K433">
        <v>155963.4</v>
      </c>
      <c r="L433" s="1" t="s">
        <v>30</v>
      </c>
      <c r="M433" s="1" t="s">
        <v>31</v>
      </c>
      <c r="N433" s="2"/>
      <c r="O433">
        <v>432</v>
      </c>
      <c r="P433">
        <v>0</v>
      </c>
      <c r="Q433" t="s">
        <v>25</v>
      </c>
      <c r="R433">
        <f ca="1">DATEDIF(EMP_RAW_Data[[#This Row],[Hire Date]],IF(EMP_RAW_Data[[#This Row],[Exit Date]]="",TODAY(),EMP_RAW_Data[[#This Row],[Exit Date]]),"Y")</f>
        <v>4</v>
      </c>
      <c r="S433" t="str">
        <f>IF(EMP_RAW_Data[[#This Row],[Status]]=1,"Inactive","Active")</f>
        <v>Active</v>
      </c>
    </row>
    <row r="434" spans="1:19" hidden="1" x14ac:dyDescent="0.3">
      <c r="A434" s="1" t="s">
        <v>517</v>
      </c>
      <c r="B434" s="1" t="s">
        <v>51</v>
      </c>
      <c r="C434" s="1" t="s">
        <v>46</v>
      </c>
      <c r="D434" s="1" t="s">
        <v>47</v>
      </c>
      <c r="E434" s="1" t="s">
        <v>29</v>
      </c>
      <c r="F434">
        <v>47</v>
      </c>
      <c r="G434" t="s">
        <v>36</v>
      </c>
      <c r="H434" s="2">
        <v>41333</v>
      </c>
      <c r="I434">
        <v>54635</v>
      </c>
      <c r="J434">
        <v>0</v>
      </c>
      <c r="K434">
        <v>54635</v>
      </c>
      <c r="L434" s="1" t="s">
        <v>23</v>
      </c>
      <c r="M434" s="1" t="s">
        <v>37</v>
      </c>
      <c r="N434" s="2"/>
      <c r="O434">
        <v>433</v>
      </c>
      <c r="P434">
        <v>0</v>
      </c>
      <c r="Q434" t="s">
        <v>25</v>
      </c>
      <c r="R434">
        <f ca="1">DATEDIF(EMP_RAW_Data[[#This Row],[Hire Date]],IF(EMP_RAW_Data[[#This Row],[Exit Date]]="",TODAY(),EMP_RAW_Data[[#This Row],[Exit Date]]),"Y")</f>
        <v>13</v>
      </c>
      <c r="S434" t="str">
        <f>IF(EMP_RAW_Data[[#This Row],[Status]]=1,"Inactive","Active")</f>
        <v>Active</v>
      </c>
    </row>
    <row r="435" spans="1:19" hidden="1" x14ac:dyDescent="0.3">
      <c r="A435" s="1" t="s">
        <v>518</v>
      </c>
      <c r="B435" s="1" t="s">
        <v>142</v>
      </c>
      <c r="C435" s="1" t="s">
        <v>19</v>
      </c>
      <c r="D435" s="1" t="s">
        <v>47</v>
      </c>
      <c r="E435" s="1" t="s">
        <v>21</v>
      </c>
      <c r="F435">
        <v>42</v>
      </c>
      <c r="G435" t="s">
        <v>59</v>
      </c>
      <c r="H435" s="2">
        <v>43866</v>
      </c>
      <c r="I435">
        <v>96636</v>
      </c>
      <c r="J435">
        <v>0</v>
      </c>
      <c r="K435">
        <v>96636</v>
      </c>
      <c r="L435" s="1" t="s">
        <v>23</v>
      </c>
      <c r="M435" s="1" t="s">
        <v>74</v>
      </c>
      <c r="N435" s="2"/>
      <c r="O435">
        <v>434</v>
      </c>
      <c r="P435">
        <v>0</v>
      </c>
      <c r="Q435" t="s">
        <v>25</v>
      </c>
      <c r="R435">
        <f ca="1">DATEDIF(EMP_RAW_Data[[#This Row],[Hire Date]],IF(EMP_RAW_Data[[#This Row],[Exit Date]]="",TODAY(),EMP_RAW_Data[[#This Row],[Exit Date]]),"Y")</f>
        <v>6</v>
      </c>
      <c r="S435" t="str">
        <f>IF(EMP_RAW_Data[[#This Row],[Status]]=1,"Inactive","Active")</f>
        <v>Active</v>
      </c>
    </row>
    <row r="436" spans="1:19" hidden="1" x14ac:dyDescent="0.3">
      <c r="A436" s="1" t="s">
        <v>519</v>
      </c>
      <c r="B436" s="1" t="s">
        <v>192</v>
      </c>
      <c r="C436" s="1" t="s">
        <v>19</v>
      </c>
      <c r="D436" s="1" t="s">
        <v>28</v>
      </c>
      <c r="E436" s="1" t="s">
        <v>21</v>
      </c>
      <c r="F436">
        <v>35</v>
      </c>
      <c r="G436" t="s">
        <v>59</v>
      </c>
      <c r="H436" s="2">
        <v>41941</v>
      </c>
      <c r="I436">
        <v>91592</v>
      </c>
      <c r="J436">
        <v>0</v>
      </c>
      <c r="K436">
        <v>91592</v>
      </c>
      <c r="L436" s="1" t="s">
        <v>23</v>
      </c>
      <c r="M436" s="1" t="s">
        <v>37</v>
      </c>
      <c r="N436" s="2"/>
      <c r="O436">
        <v>435</v>
      </c>
      <c r="P436">
        <v>0</v>
      </c>
      <c r="Q436" t="s">
        <v>25</v>
      </c>
      <c r="R436">
        <f ca="1">DATEDIF(EMP_RAW_Data[[#This Row],[Hire Date]],IF(EMP_RAW_Data[[#This Row],[Exit Date]]="",TODAY(),EMP_RAW_Data[[#This Row],[Exit Date]]),"Y")</f>
        <v>11</v>
      </c>
      <c r="S436" t="str">
        <f>IF(EMP_RAW_Data[[#This Row],[Status]]=1,"Inactive","Active")</f>
        <v>Active</v>
      </c>
    </row>
    <row r="437" spans="1:19" hidden="1" x14ac:dyDescent="0.3">
      <c r="A437" s="1" t="s">
        <v>520</v>
      </c>
      <c r="B437" s="1" t="s">
        <v>130</v>
      </c>
      <c r="C437" s="1" t="s">
        <v>58</v>
      </c>
      <c r="D437" s="1" t="s">
        <v>20</v>
      </c>
      <c r="E437" s="1" t="s">
        <v>21</v>
      </c>
      <c r="F437">
        <v>45</v>
      </c>
      <c r="G437" t="s">
        <v>36</v>
      </c>
      <c r="H437" s="2">
        <v>36755</v>
      </c>
      <c r="I437">
        <v>55563</v>
      </c>
      <c r="J437">
        <v>0</v>
      </c>
      <c r="K437">
        <v>55563</v>
      </c>
      <c r="L437" s="1" t="s">
        <v>30</v>
      </c>
      <c r="M437" s="1" t="s">
        <v>102</v>
      </c>
      <c r="N437" s="2"/>
      <c r="O437">
        <v>436</v>
      </c>
      <c r="P437">
        <v>0</v>
      </c>
      <c r="Q437" t="s">
        <v>25</v>
      </c>
      <c r="R437">
        <f ca="1">DATEDIF(EMP_RAW_Data[[#This Row],[Hire Date]],IF(EMP_RAW_Data[[#This Row],[Exit Date]]="",TODAY(),EMP_RAW_Data[[#This Row],[Exit Date]]),"Y")</f>
        <v>25</v>
      </c>
      <c r="S437" t="str">
        <f>IF(EMP_RAW_Data[[#This Row],[Status]]=1,"Inactive","Active")</f>
        <v>Active</v>
      </c>
    </row>
    <row r="438" spans="1:19" hidden="1" x14ac:dyDescent="0.3">
      <c r="A438" s="1" t="s">
        <v>521</v>
      </c>
      <c r="B438" s="1" t="s">
        <v>33</v>
      </c>
      <c r="C438" s="1" t="s">
        <v>19</v>
      </c>
      <c r="D438" s="1" t="s">
        <v>20</v>
      </c>
      <c r="E438" s="1" t="s">
        <v>21</v>
      </c>
      <c r="F438">
        <v>52</v>
      </c>
      <c r="G438" t="s">
        <v>36</v>
      </c>
      <c r="H438" s="2">
        <v>35109</v>
      </c>
      <c r="I438">
        <v>159724</v>
      </c>
      <c r="J438">
        <v>0.23</v>
      </c>
      <c r="K438">
        <v>196460.52000000002</v>
      </c>
      <c r="L438" s="1" t="s">
        <v>30</v>
      </c>
      <c r="M438" s="1" t="s">
        <v>90</v>
      </c>
      <c r="N438" s="2"/>
      <c r="O438">
        <v>437</v>
      </c>
      <c r="P438">
        <v>0</v>
      </c>
      <c r="Q438" t="s">
        <v>25</v>
      </c>
      <c r="R438">
        <f ca="1">DATEDIF(EMP_RAW_Data[[#This Row],[Hire Date]],IF(EMP_RAW_Data[[#This Row],[Exit Date]]="",TODAY(),EMP_RAW_Data[[#This Row],[Exit Date]]),"Y")</f>
        <v>30</v>
      </c>
      <c r="S438" t="str">
        <f>IF(EMP_RAW_Data[[#This Row],[Status]]=1,"Inactive","Active")</f>
        <v>Active</v>
      </c>
    </row>
    <row r="439" spans="1:19" hidden="1" x14ac:dyDescent="0.3">
      <c r="A439" s="1" t="s">
        <v>522</v>
      </c>
      <c r="B439" s="1" t="s">
        <v>68</v>
      </c>
      <c r="C439" s="1" t="s">
        <v>69</v>
      </c>
      <c r="D439" s="1" t="s">
        <v>47</v>
      </c>
      <c r="E439" s="1" t="s">
        <v>29</v>
      </c>
      <c r="F439">
        <v>57</v>
      </c>
      <c r="G439" t="s">
        <v>22</v>
      </c>
      <c r="H439" s="2">
        <v>42951</v>
      </c>
      <c r="I439">
        <v>183190</v>
      </c>
      <c r="J439">
        <v>0.36</v>
      </c>
      <c r="K439">
        <v>249138.4</v>
      </c>
      <c r="L439" s="1" t="s">
        <v>23</v>
      </c>
      <c r="M439" s="1" t="s">
        <v>37</v>
      </c>
      <c r="N439" s="2"/>
      <c r="O439">
        <v>438</v>
      </c>
      <c r="P439">
        <v>0</v>
      </c>
      <c r="Q439" t="s">
        <v>25</v>
      </c>
      <c r="R439">
        <f ca="1">DATEDIF(EMP_RAW_Data[[#This Row],[Hire Date]],IF(EMP_RAW_Data[[#This Row],[Exit Date]]="",TODAY(),EMP_RAW_Data[[#This Row],[Exit Date]]),"Y")</f>
        <v>8</v>
      </c>
      <c r="S439" t="str">
        <f>IF(EMP_RAW_Data[[#This Row],[Status]]=1,"Inactive","Active")</f>
        <v>Active</v>
      </c>
    </row>
    <row r="440" spans="1:19" hidden="1" x14ac:dyDescent="0.3">
      <c r="A440" s="1" t="s">
        <v>523</v>
      </c>
      <c r="B440" s="1" t="s">
        <v>51</v>
      </c>
      <c r="C440" s="1" t="s">
        <v>54</v>
      </c>
      <c r="D440" s="1" t="s">
        <v>35</v>
      </c>
      <c r="E440" s="1" t="s">
        <v>21</v>
      </c>
      <c r="F440">
        <v>56</v>
      </c>
      <c r="G440" t="s">
        <v>22</v>
      </c>
      <c r="H440" s="2">
        <v>43824</v>
      </c>
      <c r="I440">
        <v>54829</v>
      </c>
      <c r="J440">
        <v>0</v>
      </c>
      <c r="K440">
        <v>54829</v>
      </c>
      <c r="L440" s="1" t="s">
        <v>23</v>
      </c>
      <c r="M440" s="1" t="s">
        <v>43</v>
      </c>
      <c r="N440" s="2"/>
      <c r="O440">
        <v>439</v>
      </c>
      <c r="P440">
        <v>0</v>
      </c>
      <c r="Q440" t="s">
        <v>25</v>
      </c>
      <c r="R440">
        <f ca="1">DATEDIF(EMP_RAW_Data[[#This Row],[Hire Date]],IF(EMP_RAW_Data[[#This Row],[Exit Date]]="",TODAY(),EMP_RAW_Data[[#This Row],[Exit Date]]),"Y")</f>
        <v>6</v>
      </c>
      <c r="S440" t="str">
        <f>IF(EMP_RAW_Data[[#This Row],[Status]]=1,"Inactive","Active")</f>
        <v>Active</v>
      </c>
    </row>
    <row r="441" spans="1:19" hidden="1" x14ac:dyDescent="0.3">
      <c r="A441" s="1" t="s">
        <v>524</v>
      </c>
      <c r="B441" s="1" t="s">
        <v>86</v>
      </c>
      <c r="C441" s="1" t="s">
        <v>62</v>
      </c>
      <c r="D441" s="1" t="s">
        <v>47</v>
      </c>
      <c r="E441" s="1" t="s">
        <v>29</v>
      </c>
      <c r="F441">
        <v>46</v>
      </c>
      <c r="G441" t="s">
        <v>36</v>
      </c>
      <c r="H441" s="2">
        <v>38464</v>
      </c>
      <c r="I441">
        <v>96639</v>
      </c>
      <c r="J441">
        <v>0</v>
      </c>
      <c r="K441">
        <v>96639</v>
      </c>
      <c r="L441" s="1" t="s">
        <v>77</v>
      </c>
      <c r="M441" s="1" t="s">
        <v>81</v>
      </c>
      <c r="N441" s="2"/>
      <c r="O441">
        <v>440</v>
      </c>
      <c r="P441">
        <v>0</v>
      </c>
      <c r="Q441" t="s">
        <v>25</v>
      </c>
      <c r="R441">
        <f ca="1">DATEDIF(EMP_RAW_Data[[#This Row],[Hire Date]],IF(EMP_RAW_Data[[#This Row],[Exit Date]]="",TODAY(),EMP_RAW_Data[[#This Row],[Exit Date]]),"Y")</f>
        <v>20</v>
      </c>
      <c r="S441" t="str">
        <f>IF(EMP_RAW_Data[[#This Row],[Status]]=1,"Inactive","Active")</f>
        <v>Active</v>
      </c>
    </row>
    <row r="442" spans="1:19" hidden="1" x14ac:dyDescent="0.3">
      <c r="A442" s="1" t="s">
        <v>525</v>
      </c>
      <c r="B442" s="1" t="s">
        <v>49</v>
      </c>
      <c r="C442" s="1" t="s">
        <v>69</v>
      </c>
      <c r="D442" s="1" t="s">
        <v>35</v>
      </c>
      <c r="E442" s="1" t="s">
        <v>21</v>
      </c>
      <c r="F442">
        <v>43</v>
      </c>
      <c r="G442" t="s">
        <v>59</v>
      </c>
      <c r="H442" s="2">
        <v>38879</v>
      </c>
      <c r="I442">
        <v>117278</v>
      </c>
      <c r="J442">
        <v>0.09</v>
      </c>
      <c r="K442">
        <v>127833.02</v>
      </c>
      <c r="L442" s="1" t="s">
        <v>23</v>
      </c>
      <c r="M442" s="1" t="s">
        <v>52</v>
      </c>
      <c r="N442" s="2"/>
      <c r="O442">
        <v>441</v>
      </c>
      <c r="P442">
        <v>0</v>
      </c>
      <c r="Q442" t="s">
        <v>25</v>
      </c>
      <c r="R442">
        <f ca="1">DATEDIF(EMP_RAW_Data[[#This Row],[Hire Date]],IF(EMP_RAW_Data[[#This Row],[Exit Date]]="",TODAY(),EMP_RAW_Data[[#This Row],[Exit Date]]),"Y")</f>
        <v>19</v>
      </c>
      <c r="S442" t="str">
        <f>IF(EMP_RAW_Data[[#This Row],[Status]]=1,"Inactive","Active")</f>
        <v>Active</v>
      </c>
    </row>
    <row r="443" spans="1:19" hidden="1" x14ac:dyDescent="0.3">
      <c r="A443" s="1" t="s">
        <v>526</v>
      </c>
      <c r="B443" s="1" t="s">
        <v>39</v>
      </c>
      <c r="C443" s="1" t="s">
        <v>19</v>
      </c>
      <c r="D443" s="1" t="s">
        <v>35</v>
      </c>
      <c r="E443" s="1" t="s">
        <v>29</v>
      </c>
      <c r="F443">
        <v>53</v>
      </c>
      <c r="G443" t="s">
        <v>36</v>
      </c>
      <c r="H443" s="2">
        <v>39487</v>
      </c>
      <c r="I443">
        <v>84193</v>
      </c>
      <c r="J443">
        <v>0.09</v>
      </c>
      <c r="K443">
        <v>91770.37</v>
      </c>
      <c r="L443" s="1" t="s">
        <v>30</v>
      </c>
      <c r="M443" s="1" t="s">
        <v>65</v>
      </c>
      <c r="N443" s="2"/>
      <c r="O443">
        <v>442</v>
      </c>
      <c r="P443">
        <v>0</v>
      </c>
      <c r="Q443" t="s">
        <v>25</v>
      </c>
      <c r="R443">
        <f ca="1">DATEDIF(EMP_RAW_Data[[#This Row],[Hire Date]],IF(EMP_RAW_Data[[#This Row],[Exit Date]]="",TODAY(),EMP_RAW_Data[[#This Row],[Exit Date]]),"Y")</f>
        <v>18</v>
      </c>
      <c r="S443" t="str">
        <f>IF(EMP_RAW_Data[[#This Row],[Status]]=1,"Inactive","Active")</f>
        <v>Active</v>
      </c>
    </row>
    <row r="444" spans="1:19" hidden="1" x14ac:dyDescent="0.3">
      <c r="A444" s="1" t="s">
        <v>527</v>
      </c>
      <c r="B444" s="1" t="s">
        <v>290</v>
      </c>
      <c r="C444" s="1" t="s">
        <v>19</v>
      </c>
      <c r="D444" s="1" t="s">
        <v>28</v>
      </c>
      <c r="E444" s="1" t="s">
        <v>21</v>
      </c>
      <c r="F444">
        <v>47</v>
      </c>
      <c r="G444" t="s">
        <v>36</v>
      </c>
      <c r="H444" s="2">
        <v>43309</v>
      </c>
      <c r="I444">
        <v>87806</v>
      </c>
      <c r="J444">
        <v>0</v>
      </c>
      <c r="K444">
        <v>87806</v>
      </c>
      <c r="L444" s="1" t="s">
        <v>23</v>
      </c>
      <c r="M444" s="1" t="s">
        <v>24</v>
      </c>
      <c r="N444" s="2"/>
      <c r="O444">
        <v>443</v>
      </c>
      <c r="P444">
        <v>0</v>
      </c>
      <c r="Q444" t="s">
        <v>25</v>
      </c>
      <c r="R444">
        <f ca="1">DATEDIF(EMP_RAW_Data[[#This Row],[Hire Date]],IF(EMP_RAW_Data[[#This Row],[Exit Date]]="",TODAY(),EMP_RAW_Data[[#This Row],[Exit Date]]),"Y")</f>
        <v>7</v>
      </c>
      <c r="S444" t="str">
        <f>IF(EMP_RAW_Data[[#This Row],[Status]]=1,"Inactive","Active")</f>
        <v>Active</v>
      </c>
    </row>
    <row r="445" spans="1:19" hidden="1" x14ac:dyDescent="0.3">
      <c r="A445" s="1" t="s">
        <v>528</v>
      </c>
      <c r="B445" s="1" t="s">
        <v>151</v>
      </c>
      <c r="C445" s="1" t="s">
        <v>62</v>
      </c>
      <c r="D445" s="1" t="s">
        <v>20</v>
      </c>
      <c r="E445" s="1" t="s">
        <v>29</v>
      </c>
      <c r="F445">
        <v>62</v>
      </c>
      <c r="G445" t="s">
        <v>22</v>
      </c>
      <c r="H445" s="2">
        <v>40820</v>
      </c>
      <c r="I445">
        <v>63959</v>
      </c>
      <c r="J445">
        <v>0</v>
      </c>
      <c r="K445">
        <v>63959</v>
      </c>
      <c r="L445" s="1" t="s">
        <v>23</v>
      </c>
      <c r="M445" s="1" t="s">
        <v>24</v>
      </c>
      <c r="N445" s="2"/>
      <c r="O445">
        <v>444</v>
      </c>
      <c r="P445">
        <v>0</v>
      </c>
      <c r="Q445" t="s">
        <v>25</v>
      </c>
      <c r="R445">
        <f ca="1">DATEDIF(EMP_RAW_Data[[#This Row],[Hire Date]],IF(EMP_RAW_Data[[#This Row],[Exit Date]]="",TODAY(),EMP_RAW_Data[[#This Row],[Exit Date]]),"Y")</f>
        <v>14</v>
      </c>
      <c r="S445" t="str">
        <f>IF(EMP_RAW_Data[[#This Row],[Status]]=1,"Inactive","Active")</f>
        <v>Active</v>
      </c>
    </row>
    <row r="446" spans="1:19" hidden="1" x14ac:dyDescent="0.3">
      <c r="A446" s="1" t="s">
        <v>529</v>
      </c>
      <c r="B446" s="1" t="s">
        <v>68</v>
      </c>
      <c r="C446" s="1" t="s">
        <v>19</v>
      </c>
      <c r="D446" s="1" t="s">
        <v>20</v>
      </c>
      <c r="E446" s="1" t="s">
        <v>29</v>
      </c>
      <c r="F446">
        <v>35</v>
      </c>
      <c r="G446" t="s">
        <v>59</v>
      </c>
      <c r="H446" s="2">
        <v>42166</v>
      </c>
      <c r="I446">
        <v>234723</v>
      </c>
      <c r="J446">
        <v>0.36</v>
      </c>
      <c r="K446">
        <v>319223.28000000003</v>
      </c>
      <c r="L446" s="1" t="s">
        <v>30</v>
      </c>
      <c r="M446" s="1" t="s">
        <v>65</v>
      </c>
      <c r="N446" s="2"/>
      <c r="O446">
        <v>445</v>
      </c>
      <c r="P446">
        <v>0</v>
      </c>
      <c r="Q446" t="s">
        <v>25</v>
      </c>
      <c r="R446">
        <f ca="1">DATEDIF(EMP_RAW_Data[[#This Row],[Hire Date]],IF(EMP_RAW_Data[[#This Row],[Exit Date]]="",TODAY(),EMP_RAW_Data[[#This Row],[Exit Date]]),"Y")</f>
        <v>10</v>
      </c>
      <c r="S446" t="str">
        <f>IF(EMP_RAW_Data[[#This Row],[Status]]=1,"Inactive","Active")</f>
        <v>Active</v>
      </c>
    </row>
    <row r="447" spans="1:19" hidden="1" x14ac:dyDescent="0.3">
      <c r="A447" s="1" t="s">
        <v>530</v>
      </c>
      <c r="B447" s="1" t="s">
        <v>51</v>
      </c>
      <c r="C447" s="1" t="s">
        <v>54</v>
      </c>
      <c r="D447" s="1" t="s">
        <v>47</v>
      </c>
      <c r="E447" s="1" t="s">
        <v>21</v>
      </c>
      <c r="F447">
        <v>27</v>
      </c>
      <c r="G447" t="s">
        <v>40</v>
      </c>
      <c r="H447" s="2">
        <v>43701</v>
      </c>
      <c r="I447">
        <v>50809</v>
      </c>
      <c r="J447">
        <v>0</v>
      </c>
      <c r="K447">
        <v>50809</v>
      </c>
      <c r="L447" s="1" t="s">
        <v>30</v>
      </c>
      <c r="M447" s="1" t="s">
        <v>31</v>
      </c>
      <c r="N447" s="2"/>
      <c r="O447">
        <v>446</v>
      </c>
      <c r="P447">
        <v>0</v>
      </c>
      <c r="Q447" t="s">
        <v>25</v>
      </c>
      <c r="R447">
        <f ca="1">DATEDIF(EMP_RAW_Data[[#This Row],[Hire Date]],IF(EMP_RAW_Data[[#This Row],[Exit Date]]="",TODAY(),EMP_RAW_Data[[#This Row],[Exit Date]]),"Y")</f>
        <v>6</v>
      </c>
      <c r="S447" t="str">
        <f>IF(EMP_RAW_Data[[#This Row],[Status]]=1,"Inactive","Active")</f>
        <v>Active</v>
      </c>
    </row>
    <row r="448" spans="1:19" hidden="1" x14ac:dyDescent="0.3">
      <c r="A448" s="1" t="s">
        <v>531</v>
      </c>
      <c r="B448" s="1" t="s">
        <v>42</v>
      </c>
      <c r="C448" s="1" t="s">
        <v>34</v>
      </c>
      <c r="D448" s="1" t="s">
        <v>28</v>
      </c>
      <c r="E448" s="1" t="s">
        <v>29</v>
      </c>
      <c r="F448">
        <v>55</v>
      </c>
      <c r="G448" t="s">
        <v>22</v>
      </c>
      <c r="H448" s="2">
        <v>37456</v>
      </c>
      <c r="I448">
        <v>77396</v>
      </c>
      <c r="J448">
        <v>0</v>
      </c>
      <c r="K448">
        <v>77396</v>
      </c>
      <c r="L448" s="1" t="s">
        <v>23</v>
      </c>
      <c r="M448" s="1" t="s">
        <v>52</v>
      </c>
      <c r="N448" s="2"/>
      <c r="O448">
        <v>447</v>
      </c>
      <c r="P448">
        <v>0</v>
      </c>
      <c r="Q448" t="s">
        <v>25</v>
      </c>
      <c r="R448">
        <f ca="1">DATEDIF(EMP_RAW_Data[[#This Row],[Hire Date]],IF(EMP_RAW_Data[[#This Row],[Exit Date]]="",TODAY(),EMP_RAW_Data[[#This Row],[Exit Date]]),"Y")</f>
        <v>23</v>
      </c>
      <c r="S448" t="str">
        <f>IF(EMP_RAW_Data[[#This Row],[Status]]=1,"Inactive","Active")</f>
        <v>Active</v>
      </c>
    </row>
    <row r="449" spans="1:19" hidden="1" x14ac:dyDescent="0.3">
      <c r="A449" s="1" t="s">
        <v>532</v>
      </c>
      <c r="B449" s="1" t="s">
        <v>42</v>
      </c>
      <c r="C449" s="1" t="s">
        <v>34</v>
      </c>
      <c r="D449" s="1" t="s">
        <v>35</v>
      </c>
      <c r="E449" s="1" t="s">
        <v>21</v>
      </c>
      <c r="F449">
        <v>63</v>
      </c>
      <c r="G449" t="s">
        <v>22</v>
      </c>
      <c r="H449" s="2">
        <v>36525</v>
      </c>
      <c r="I449">
        <v>89523</v>
      </c>
      <c r="J449">
        <v>0</v>
      </c>
      <c r="K449">
        <v>89523</v>
      </c>
      <c r="L449" s="1" t="s">
        <v>23</v>
      </c>
      <c r="M449" s="1" t="s">
        <v>43</v>
      </c>
      <c r="N449" s="2"/>
      <c r="O449">
        <v>448</v>
      </c>
      <c r="P449">
        <v>0</v>
      </c>
      <c r="Q449" t="s">
        <v>25</v>
      </c>
      <c r="R449">
        <f ca="1">DATEDIF(EMP_RAW_Data[[#This Row],[Hire Date]],IF(EMP_RAW_Data[[#This Row],[Exit Date]]="",TODAY(),EMP_RAW_Data[[#This Row],[Exit Date]]),"Y")</f>
        <v>26</v>
      </c>
      <c r="S449" t="str">
        <f>IF(EMP_RAW_Data[[#This Row],[Status]]=1,"Inactive","Active")</f>
        <v>Active</v>
      </c>
    </row>
    <row r="450" spans="1:19" hidden="1" x14ac:dyDescent="0.3">
      <c r="A450" s="1" t="s">
        <v>533</v>
      </c>
      <c r="B450" s="1" t="s">
        <v>142</v>
      </c>
      <c r="C450" s="1" t="s">
        <v>19</v>
      </c>
      <c r="D450" s="1" t="s">
        <v>47</v>
      </c>
      <c r="E450" s="1" t="s">
        <v>21</v>
      </c>
      <c r="F450">
        <v>53</v>
      </c>
      <c r="G450" t="s">
        <v>36</v>
      </c>
      <c r="H450" s="2">
        <v>40744</v>
      </c>
      <c r="I450">
        <v>86173</v>
      </c>
      <c r="J450">
        <v>0</v>
      </c>
      <c r="K450">
        <v>86173</v>
      </c>
      <c r="L450" s="1" t="s">
        <v>30</v>
      </c>
      <c r="M450" s="1" t="s">
        <v>31</v>
      </c>
      <c r="N450" s="2"/>
      <c r="O450">
        <v>449</v>
      </c>
      <c r="P450">
        <v>0</v>
      </c>
      <c r="Q450" t="s">
        <v>25</v>
      </c>
      <c r="R450">
        <f ca="1">DATEDIF(EMP_RAW_Data[[#This Row],[Hire Date]],IF(EMP_RAW_Data[[#This Row],[Exit Date]]="",TODAY(),EMP_RAW_Data[[#This Row],[Exit Date]]),"Y")</f>
        <v>14</v>
      </c>
      <c r="S450" t="str">
        <f>IF(EMP_RAW_Data[[#This Row],[Status]]=1,"Inactive","Active")</f>
        <v>Active</v>
      </c>
    </row>
    <row r="451" spans="1:19" hidden="1" x14ac:dyDescent="0.3">
      <c r="A451" s="1" t="s">
        <v>534</v>
      </c>
      <c r="B451" s="1" t="s">
        <v>68</v>
      </c>
      <c r="C451" s="1" t="s">
        <v>46</v>
      </c>
      <c r="D451" s="1" t="s">
        <v>28</v>
      </c>
      <c r="E451" s="1" t="s">
        <v>21</v>
      </c>
      <c r="F451">
        <v>54</v>
      </c>
      <c r="G451" t="s">
        <v>36</v>
      </c>
      <c r="H451" s="2">
        <v>36757</v>
      </c>
      <c r="I451">
        <v>222224</v>
      </c>
      <c r="J451">
        <v>0.38</v>
      </c>
      <c r="K451">
        <v>306669.12</v>
      </c>
      <c r="L451" s="1" t="s">
        <v>23</v>
      </c>
      <c r="M451" s="1" t="s">
        <v>74</v>
      </c>
      <c r="N451" s="2"/>
      <c r="O451">
        <v>450</v>
      </c>
      <c r="P451">
        <v>0</v>
      </c>
      <c r="Q451" t="s">
        <v>25</v>
      </c>
      <c r="R451">
        <f ca="1">DATEDIF(EMP_RAW_Data[[#This Row],[Hire Date]],IF(EMP_RAW_Data[[#This Row],[Exit Date]]="",TODAY(),EMP_RAW_Data[[#This Row],[Exit Date]]),"Y")</f>
        <v>25</v>
      </c>
      <c r="S451" t="str">
        <f>IF(EMP_RAW_Data[[#This Row],[Status]]=1,"Inactive","Active")</f>
        <v>Active</v>
      </c>
    </row>
    <row r="452" spans="1:19" hidden="1" x14ac:dyDescent="0.3">
      <c r="A452" s="1" t="s">
        <v>535</v>
      </c>
      <c r="B452" s="1" t="s">
        <v>18</v>
      </c>
      <c r="C452" s="1" t="s">
        <v>34</v>
      </c>
      <c r="D452" s="1" t="s">
        <v>20</v>
      </c>
      <c r="E452" s="1" t="s">
        <v>29</v>
      </c>
      <c r="F452">
        <v>43</v>
      </c>
      <c r="G452" t="s">
        <v>59</v>
      </c>
      <c r="H452" s="2">
        <v>44303</v>
      </c>
      <c r="I452">
        <v>146140</v>
      </c>
      <c r="J452">
        <v>0.15</v>
      </c>
      <c r="K452">
        <v>168061</v>
      </c>
      <c r="L452" s="1" t="s">
        <v>23</v>
      </c>
      <c r="M452" s="1" t="s">
        <v>24</v>
      </c>
      <c r="N452" s="2"/>
      <c r="O452">
        <v>451</v>
      </c>
      <c r="P452">
        <v>0</v>
      </c>
      <c r="Q452" t="s">
        <v>25</v>
      </c>
      <c r="R452">
        <f ca="1">DATEDIF(EMP_RAW_Data[[#This Row],[Hire Date]],IF(EMP_RAW_Data[[#This Row],[Exit Date]]="",TODAY(),EMP_RAW_Data[[#This Row],[Exit Date]]),"Y")</f>
        <v>4</v>
      </c>
      <c r="S452" t="str">
        <f>IF(EMP_RAW_Data[[#This Row],[Status]]=1,"Inactive","Active")</f>
        <v>Active</v>
      </c>
    </row>
    <row r="453" spans="1:19" hidden="1" x14ac:dyDescent="0.3">
      <c r="A453" s="1" t="s">
        <v>536</v>
      </c>
      <c r="B453" s="1" t="s">
        <v>89</v>
      </c>
      <c r="C453" s="1" t="s">
        <v>62</v>
      </c>
      <c r="D453" s="1" t="s">
        <v>35</v>
      </c>
      <c r="E453" s="1" t="s">
        <v>21</v>
      </c>
      <c r="F453">
        <v>64</v>
      </c>
      <c r="G453" t="s">
        <v>22</v>
      </c>
      <c r="H453" s="2">
        <v>34505</v>
      </c>
      <c r="I453">
        <v>109456</v>
      </c>
      <c r="J453">
        <v>0.1</v>
      </c>
      <c r="K453">
        <v>120401.60000000001</v>
      </c>
      <c r="L453" s="1" t="s">
        <v>23</v>
      </c>
      <c r="M453" s="1" t="s">
        <v>37</v>
      </c>
      <c r="N453" s="2"/>
      <c r="O453">
        <v>452</v>
      </c>
      <c r="P453">
        <v>0</v>
      </c>
      <c r="Q453" t="s">
        <v>25</v>
      </c>
      <c r="R453">
        <f ca="1">DATEDIF(EMP_RAW_Data[[#This Row],[Hire Date]],IF(EMP_RAW_Data[[#This Row],[Exit Date]]="",TODAY(),EMP_RAW_Data[[#This Row],[Exit Date]]),"Y")</f>
        <v>31</v>
      </c>
      <c r="S453" t="str">
        <f>IF(EMP_RAW_Data[[#This Row],[Status]]=1,"Inactive","Active")</f>
        <v>Active</v>
      </c>
    </row>
    <row r="454" spans="1:19" hidden="1" x14ac:dyDescent="0.3">
      <c r="A454" s="1" t="s">
        <v>537</v>
      </c>
      <c r="B454" s="1" t="s">
        <v>33</v>
      </c>
      <c r="C454" s="1" t="s">
        <v>34</v>
      </c>
      <c r="D454" s="1" t="s">
        <v>20</v>
      </c>
      <c r="E454" s="1" t="s">
        <v>21</v>
      </c>
      <c r="F454">
        <v>65</v>
      </c>
      <c r="G454" t="s">
        <v>71</v>
      </c>
      <c r="H454" s="2">
        <v>39728</v>
      </c>
      <c r="I454">
        <v>170221</v>
      </c>
      <c r="J454">
        <v>0.15</v>
      </c>
      <c r="K454">
        <v>195754.15</v>
      </c>
      <c r="L454" s="1" t="s">
        <v>77</v>
      </c>
      <c r="M454" s="1" t="s">
        <v>78</v>
      </c>
      <c r="N454" s="2"/>
      <c r="O454">
        <v>453</v>
      </c>
      <c r="P454">
        <v>0</v>
      </c>
      <c r="Q454" t="s">
        <v>25</v>
      </c>
      <c r="R454">
        <f ca="1">DATEDIF(EMP_RAW_Data[[#This Row],[Hire Date]],IF(EMP_RAW_Data[[#This Row],[Exit Date]]="",TODAY(),EMP_RAW_Data[[#This Row],[Exit Date]]),"Y")</f>
        <v>17</v>
      </c>
      <c r="S454" t="str">
        <f>IF(EMP_RAW_Data[[#This Row],[Status]]=1,"Inactive","Active")</f>
        <v>Active</v>
      </c>
    </row>
    <row r="455" spans="1:19" x14ac:dyDescent="0.3">
      <c r="A455" s="1" t="s">
        <v>538</v>
      </c>
      <c r="B455" s="1" t="s">
        <v>39</v>
      </c>
      <c r="C455" s="1" t="s">
        <v>19</v>
      </c>
      <c r="D455" s="1" t="s">
        <v>20</v>
      </c>
      <c r="E455" s="1" t="s">
        <v>21</v>
      </c>
      <c r="F455">
        <v>42</v>
      </c>
      <c r="G455" t="s">
        <v>59</v>
      </c>
      <c r="H455" s="2">
        <v>38777</v>
      </c>
      <c r="I455">
        <v>97433</v>
      </c>
      <c r="J455">
        <v>0.05</v>
      </c>
      <c r="K455">
        <v>102304.65</v>
      </c>
      <c r="L455" s="1" t="s">
        <v>23</v>
      </c>
      <c r="M455" s="1" t="s">
        <v>24</v>
      </c>
      <c r="N455" s="2">
        <v>42224</v>
      </c>
      <c r="O455">
        <v>454</v>
      </c>
      <c r="P455">
        <v>1</v>
      </c>
      <c r="Q455" t="s">
        <v>25</v>
      </c>
      <c r="R455">
        <f ca="1">DATEDIF(EMP_RAW_Data[[#This Row],[Hire Date]],IF(EMP_RAW_Data[[#This Row],[Exit Date]]="",TODAY(),EMP_RAW_Data[[#This Row],[Exit Date]]),"Y")</f>
        <v>9</v>
      </c>
      <c r="S455" t="str">
        <f>IF(EMP_RAW_Data[[#This Row],[Status]]=1,"Inactive","Active")</f>
        <v>Inactive</v>
      </c>
    </row>
    <row r="456" spans="1:19" hidden="1" x14ac:dyDescent="0.3">
      <c r="A456" s="1" t="s">
        <v>539</v>
      </c>
      <c r="B456" s="1" t="s">
        <v>45</v>
      </c>
      <c r="C456" s="1" t="s">
        <v>46</v>
      </c>
      <c r="D456" s="1" t="s">
        <v>28</v>
      </c>
      <c r="E456" s="1" t="s">
        <v>29</v>
      </c>
      <c r="F456">
        <v>35</v>
      </c>
      <c r="G456" t="s">
        <v>59</v>
      </c>
      <c r="H456" s="2">
        <v>41516</v>
      </c>
      <c r="I456">
        <v>59646</v>
      </c>
      <c r="J456">
        <v>0</v>
      </c>
      <c r="K456">
        <v>59646</v>
      </c>
      <c r="L456" s="1" t="s">
        <v>30</v>
      </c>
      <c r="M456" s="1" t="s">
        <v>65</v>
      </c>
      <c r="N456" s="2"/>
      <c r="O456">
        <v>455</v>
      </c>
      <c r="P456">
        <v>0</v>
      </c>
      <c r="Q456" t="s">
        <v>25</v>
      </c>
      <c r="R456">
        <f ca="1">DATEDIF(EMP_RAW_Data[[#This Row],[Hire Date]],IF(EMP_RAW_Data[[#This Row],[Exit Date]]="",TODAY(),EMP_RAW_Data[[#This Row],[Exit Date]]),"Y")</f>
        <v>12</v>
      </c>
      <c r="S456" t="str">
        <f>IF(EMP_RAW_Data[[#This Row],[Status]]=1,"Inactive","Active")</f>
        <v>Active</v>
      </c>
    </row>
    <row r="457" spans="1:19" hidden="1" x14ac:dyDescent="0.3">
      <c r="A457" s="1" t="s">
        <v>540</v>
      </c>
      <c r="B457" s="1" t="s">
        <v>33</v>
      </c>
      <c r="C457" s="1" t="s">
        <v>62</v>
      </c>
      <c r="D457" s="1" t="s">
        <v>35</v>
      </c>
      <c r="E457" s="1" t="s">
        <v>29</v>
      </c>
      <c r="F457">
        <v>64</v>
      </c>
      <c r="G457" t="s">
        <v>22</v>
      </c>
      <c r="H457" s="2">
        <v>34940</v>
      </c>
      <c r="I457">
        <v>158787</v>
      </c>
      <c r="J457">
        <v>0.18</v>
      </c>
      <c r="K457">
        <v>187368.66</v>
      </c>
      <c r="L457" s="1" t="s">
        <v>30</v>
      </c>
      <c r="M457" s="1" t="s">
        <v>102</v>
      </c>
      <c r="N457" s="2"/>
      <c r="O457">
        <v>456</v>
      </c>
      <c r="P457">
        <v>0</v>
      </c>
      <c r="Q457" t="s">
        <v>25</v>
      </c>
      <c r="R457">
        <f ca="1">DATEDIF(EMP_RAW_Data[[#This Row],[Hire Date]],IF(EMP_RAW_Data[[#This Row],[Exit Date]]="",TODAY(),EMP_RAW_Data[[#This Row],[Exit Date]]),"Y")</f>
        <v>30</v>
      </c>
      <c r="S457" t="str">
        <f>IF(EMP_RAW_Data[[#This Row],[Status]]=1,"Inactive","Active")</f>
        <v>Active</v>
      </c>
    </row>
    <row r="458" spans="1:19" hidden="1" x14ac:dyDescent="0.3">
      <c r="A458" s="1" t="s">
        <v>541</v>
      </c>
      <c r="B458" s="1" t="s">
        <v>61</v>
      </c>
      <c r="C458" s="1" t="s">
        <v>62</v>
      </c>
      <c r="D458" s="1" t="s">
        <v>20</v>
      </c>
      <c r="E458" s="1" t="s">
        <v>29</v>
      </c>
      <c r="F458">
        <v>55</v>
      </c>
      <c r="G458" t="s">
        <v>22</v>
      </c>
      <c r="H458" s="2">
        <v>43219</v>
      </c>
      <c r="I458">
        <v>83378</v>
      </c>
      <c r="J458">
        <v>0</v>
      </c>
      <c r="K458">
        <v>83378</v>
      </c>
      <c r="L458" s="1" t="s">
        <v>30</v>
      </c>
      <c r="M458" s="1" t="s">
        <v>90</v>
      </c>
      <c r="N458" s="2"/>
      <c r="O458">
        <v>457</v>
      </c>
      <c r="P458">
        <v>0</v>
      </c>
      <c r="Q458" t="s">
        <v>25</v>
      </c>
      <c r="R458">
        <f ca="1">DATEDIF(EMP_RAW_Data[[#This Row],[Hire Date]],IF(EMP_RAW_Data[[#This Row],[Exit Date]]="",TODAY(),EMP_RAW_Data[[#This Row],[Exit Date]]),"Y")</f>
        <v>7</v>
      </c>
      <c r="S458" t="str">
        <f>IF(EMP_RAW_Data[[#This Row],[Status]]=1,"Inactive","Active")</f>
        <v>Active</v>
      </c>
    </row>
    <row r="459" spans="1:19" hidden="1" x14ac:dyDescent="0.3">
      <c r="A459" s="1" t="s">
        <v>542</v>
      </c>
      <c r="B459" s="1" t="s">
        <v>42</v>
      </c>
      <c r="C459" s="1" t="s">
        <v>69</v>
      </c>
      <c r="D459" s="1" t="s">
        <v>47</v>
      </c>
      <c r="E459" s="1" t="s">
        <v>21</v>
      </c>
      <c r="F459">
        <v>32</v>
      </c>
      <c r="G459" t="s">
        <v>40</v>
      </c>
      <c r="H459" s="2">
        <v>41590</v>
      </c>
      <c r="I459">
        <v>88895</v>
      </c>
      <c r="J459">
        <v>0</v>
      </c>
      <c r="K459">
        <v>88895</v>
      </c>
      <c r="L459" s="1" t="s">
        <v>23</v>
      </c>
      <c r="M459" s="1" t="s">
        <v>37</v>
      </c>
      <c r="N459" s="2"/>
      <c r="O459">
        <v>458</v>
      </c>
      <c r="P459">
        <v>0</v>
      </c>
      <c r="Q459" t="s">
        <v>25</v>
      </c>
      <c r="R459">
        <f ca="1">DATEDIF(EMP_RAW_Data[[#This Row],[Hire Date]],IF(EMP_RAW_Data[[#This Row],[Exit Date]]="",TODAY(),EMP_RAW_Data[[#This Row],[Exit Date]]),"Y")</f>
        <v>12</v>
      </c>
      <c r="S459" t="str">
        <f>IF(EMP_RAW_Data[[#This Row],[Status]]=1,"Inactive","Active")</f>
        <v>Active</v>
      </c>
    </row>
    <row r="460" spans="1:19" hidden="1" x14ac:dyDescent="0.3">
      <c r="A460" s="1" t="s">
        <v>543</v>
      </c>
      <c r="B460" s="1" t="s">
        <v>33</v>
      </c>
      <c r="C460" s="1" t="s">
        <v>69</v>
      </c>
      <c r="D460" s="1" t="s">
        <v>47</v>
      </c>
      <c r="E460" s="1" t="s">
        <v>29</v>
      </c>
      <c r="F460">
        <v>45</v>
      </c>
      <c r="G460" t="s">
        <v>36</v>
      </c>
      <c r="H460" s="2">
        <v>38332</v>
      </c>
      <c r="I460">
        <v>168846</v>
      </c>
      <c r="J460">
        <v>0.24</v>
      </c>
      <c r="K460">
        <v>209369.04</v>
      </c>
      <c r="L460" s="1" t="s">
        <v>30</v>
      </c>
      <c r="M460" s="1" t="s">
        <v>31</v>
      </c>
      <c r="N460" s="2"/>
      <c r="O460">
        <v>459</v>
      </c>
      <c r="P460">
        <v>0</v>
      </c>
      <c r="Q460" t="s">
        <v>25</v>
      </c>
      <c r="R460">
        <f ca="1">DATEDIF(EMP_RAW_Data[[#This Row],[Hire Date]],IF(EMP_RAW_Data[[#This Row],[Exit Date]]="",TODAY(),EMP_RAW_Data[[#This Row],[Exit Date]]),"Y")</f>
        <v>21</v>
      </c>
      <c r="S460" t="str">
        <f>IF(EMP_RAW_Data[[#This Row],[Status]]=1,"Inactive","Active")</f>
        <v>Active</v>
      </c>
    </row>
    <row r="461" spans="1:19" x14ac:dyDescent="0.3">
      <c r="A461" s="1" t="s">
        <v>544</v>
      </c>
      <c r="B461" s="1" t="s">
        <v>130</v>
      </c>
      <c r="C461" s="1" t="s">
        <v>58</v>
      </c>
      <c r="D461" s="1" t="s">
        <v>20</v>
      </c>
      <c r="E461" s="1" t="s">
        <v>29</v>
      </c>
      <c r="F461">
        <v>35</v>
      </c>
      <c r="G461" t="s">
        <v>59</v>
      </c>
      <c r="H461" s="2">
        <v>40596</v>
      </c>
      <c r="I461">
        <v>43336</v>
      </c>
      <c r="J461">
        <v>0</v>
      </c>
      <c r="K461">
        <v>43336</v>
      </c>
      <c r="L461" s="1" t="s">
        <v>23</v>
      </c>
      <c r="M461" s="1" t="s">
        <v>55</v>
      </c>
      <c r="N461" s="2">
        <v>44024</v>
      </c>
      <c r="O461">
        <v>460</v>
      </c>
      <c r="P461">
        <v>1</v>
      </c>
      <c r="Q461" t="s">
        <v>25</v>
      </c>
      <c r="R461">
        <f ca="1">DATEDIF(EMP_RAW_Data[[#This Row],[Hire Date]],IF(EMP_RAW_Data[[#This Row],[Exit Date]]="",TODAY(),EMP_RAW_Data[[#This Row],[Exit Date]]),"Y")</f>
        <v>9</v>
      </c>
      <c r="S461" t="str">
        <f>IF(EMP_RAW_Data[[#This Row],[Status]]=1,"Inactive","Active")</f>
        <v>Inactive</v>
      </c>
    </row>
    <row r="462" spans="1:19" hidden="1" x14ac:dyDescent="0.3">
      <c r="A462" s="1" t="s">
        <v>545</v>
      </c>
      <c r="B462" s="1" t="s">
        <v>18</v>
      </c>
      <c r="C462" s="1" t="s">
        <v>58</v>
      </c>
      <c r="D462" s="1" t="s">
        <v>47</v>
      </c>
      <c r="E462" s="1" t="s">
        <v>29</v>
      </c>
      <c r="F462">
        <v>38</v>
      </c>
      <c r="G462" t="s">
        <v>59</v>
      </c>
      <c r="H462" s="2">
        <v>40083</v>
      </c>
      <c r="I462">
        <v>127801</v>
      </c>
      <c r="J462">
        <v>0.15</v>
      </c>
      <c r="K462">
        <v>146971.15</v>
      </c>
      <c r="L462" s="1" t="s">
        <v>23</v>
      </c>
      <c r="M462" s="1" t="s">
        <v>43</v>
      </c>
      <c r="N462" s="2"/>
      <c r="O462">
        <v>461</v>
      </c>
      <c r="P462">
        <v>0</v>
      </c>
      <c r="Q462" t="s">
        <v>25</v>
      </c>
      <c r="R462">
        <f ca="1">DATEDIF(EMP_RAW_Data[[#This Row],[Hire Date]],IF(EMP_RAW_Data[[#This Row],[Exit Date]]="",TODAY(),EMP_RAW_Data[[#This Row],[Exit Date]]),"Y")</f>
        <v>16</v>
      </c>
      <c r="S462" t="str">
        <f>IF(EMP_RAW_Data[[#This Row],[Status]]=1,"Inactive","Active")</f>
        <v>Active</v>
      </c>
    </row>
    <row r="463" spans="1:19" hidden="1" x14ac:dyDescent="0.3">
      <c r="A463" s="1" t="s">
        <v>546</v>
      </c>
      <c r="B463" s="1" t="s">
        <v>290</v>
      </c>
      <c r="C463" s="1" t="s">
        <v>19</v>
      </c>
      <c r="D463" s="1" t="s">
        <v>47</v>
      </c>
      <c r="E463" s="1" t="s">
        <v>29</v>
      </c>
      <c r="F463">
        <v>54</v>
      </c>
      <c r="G463" t="s">
        <v>36</v>
      </c>
      <c r="H463" s="2">
        <v>36617</v>
      </c>
      <c r="I463">
        <v>76352</v>
      </c>
      <c r="J463">
        <v>0</v>
      </c>
      <c r="K463">
        <v>76352</v>
      </c>
      <c r="L463" s="1" t="s">
        <v>23</v>
      </c>
      <c r="M463" s="1" t="s">
        <v>55</v>
      </c>
      <c r="N463" s="2"/>
      <c r="O463">
        <v>462</v>
      </c>
      <c r="P463">
        <v>0</v>
      </c>
      <c r="Q463" t="s">
        <v>25</v>
      </c>
      <c r="R463">
        <f ca="1">DATEDIF(EMP_RAW_Data[[#This Row],[Hire Date]],IF(EMP_RAW_Data[[#This Row],[Exit Date]]="",TODAY(),EMP_RAW_Data[[#This Row],[Exit Date]]),"Y")</f>
        <v>25</v>
      </c>
      <c r="S463" t="str">
        <f>IF(EMP_RAW_Data[[#This Row],[Status]]=1,"Inactive","Active")</f>
        <v>Active</v>
      </c>
    </row>
    <row r="464" spans="1:19" hidden="1" x14ac:dyDescent="0.3">
      <c r="A464" s="1" t="s">
        <v>547</v>
      </c>
      <c r="B464" s="1" t="s">
        <v>68</v>
      </c>
      <c r="C464" s="1" t="s">
        <v>34</v>
      </c>
      <c r="D464" s="1" t="s">
        <v>47</v>
      </c>
      <c r="E464" s="1" t="s">
        <v>29</v>
      </c>
      <c r="F464">
        <v>28</v>
      </c>
      <c r="G464" t="s">
        <v>40</v>
      </c>
      <c r="H464" s="2">
        <v>43638</v>
      </c>
      <c r="I464">
        <v>250767</v>
      </c>
      <c r="J464">
        <v>0.38</v>
      </c>
      <c r="K464">
        <v>346058.46</v>
      </c>
      <c r="L464" s="1" t="s">
        <v>23</v>
      </c>
      <c r="M464" s="1" t="s">
        <v>24</v>
      </c>
      <c r="N464" s="2"/>
      <c r="O464">
        <v>463</v>
      </c>
      <c r="P464">
        <v>0</v>
      </c>
      <c r="Q464" t="s">
        <v>25</v>
      </c>
      <c r="R464">
        <f ca="1">DATEDIF(EMP_RAW_Data[[#This Row],[Hire Date]],IF(EMP_RAW_Data[[#This Row],[Exit Date]]="",TODAY(),EMP_RAW_Data[[#This Row],[Exit Date]]),"Y")</f>
        <v>6</v>
      </c>
      <c r="S464" t="str">
        <f>IF(EMP_RAW_Data[[#This Row],[Status]]=1,"Inactive","Active")</f>
        <v>Active</v>
      </c>
    </row>
    <row r="465" spans="1:19" hidden="1" x14ac:dyDescent="0.3">
      <c r="A465" s="1" t="s">
        <v>548</v>
      </c>
      <c r="B465" s="1" t="s">
        <v>68</v>
      </c>
      <c r="C465" s="1" t="s">
        <v>69</v>
      </c>
      <c r="D465" s="1" t="s">
        <v>47</v>
      </c>
      <c r="E465" s="1" t="s">
        <v>29</v>
      </c>
      <c r="F465">
        <v>26</v>
      </c>
      <c r="G465" t="s">
        <v>40</v>
      </c>
      <c r="H465" s="2">
        <v>44101</v>
      </c>
      <c r="I465">
        <v>223055</v>
      </c>
      <c r="J465">
        <v>0.3</v>
      </c>
      <c r="K465">
        <v>289971.5</v>
      </c>
      <c r="L465" s="1" t="s">
        <v>23</v>
      </c>
      <c r="M465" s="1" t="s">
        <v>74</v>
      </c>
      <c r="N465" s="2"/>
      <c r="O465">
        <v>464</v>
      </c>
      <c r="P465">
        <v>0</v>
      </c>
      <c r="Q465" t="s">
        <v>25</v>
      </c>
      <c r="R465">
        <f ca="1">DATEDIF(EMP_RAW_Data[[#This Row],[Hire Date]],IF(EMP_RAW_Data[[#This Row],[Exit Date]]="",TODAY(),EMP_RAW_Data[[#This Row],[Exit Date]]),"Y")</f>
        <v>5</v>
      </c>
      <c r="S465" t="str">
        <f>IF(EMP_RAW_Data[[#This Row],[Status]]=1,"Inactive","Active")</f>
        <v>Active</v>
      </c>
    </row>
    <row r="466" spans="1:19" hidden="1" x14ac:dyDescent="0.3">
      <c r="A466" s="1" t="s">
        <v>549</v>
      </c>
      <c r="B466" s="1" t="s">
        <v>33</v>
      </c>
      <c r="C466" s="1" t="s">
        <v>62</v>
      </c>
      <c r="D466" s="1" t="s">
        <v>47</v>
      </c>
      <c r="E466" s="1" t="s">
        <v>29</v>
      </c>
      <c r="F466">
        <v>45</v>
      </c>
      <c r="G466" t="s">
        <v>36</v>
      </c>
      <c r="H466" s="2">
        <v>39185</v>
      </c>
      <c r="I466">
        <v>189680</v>
      </c>
      <c r="J466">
        <v>0.23</v>
      </c>
      <c r="K466">
        <v>233306.4</v>
      </c>
      <c r="L466" s="1" t="s">
        <v>77</v>
      </c>
      <c r="M466" s="1" t="s">
        <v>148</v>
      </c>
      <c r="N466" s="2"/>
      <c r="O466">
        <v>465</v>
      </c>
      <c r="P466">
        <v>0</v>
      </c>
      <c r="Q466" t="s">
        <v>25</v>
      </c>
      <c r="R466">
        <f ca="1">DATEDIF(EMP_RAW_Data[[#This Row],[Hire Date]],IF(EMP_RAW_Data[[#This Row],[Exit Date]]="",TODAY(),EMP_RAW_Data[[#This Row],[Exit Date]]),"Y")</f>
        <v>18</v>
      </c>
      <c r="S466" t="str">
        <f>IF(EMP_RAW_Data[[#This Row],[Status]]=1,"Inactive","Active")</f>
        <v>Active</v>
      </c>
    </row>
    <row r="467" spans="1:19" hidden="1" x14ac:dyDescent="0.3">
      <c r="A467" s="1" t="s">
        <v>550</v>
      </c>
      <c r="B467" s="1" t="s">
        <v>151</v>
      </c>
      <c r="C467" s="1" t="s">
        <v>62</v>
      </c>
      <c r="D467" s="1" t="s">
        <v>28</v>
      </c>
      <c r="E467" s="1" t="s">
        <v>29</v>
      </c>
      <c r="F467">
        <v>57</v>
      </c>
      <c r="G467" t="s">
        <v>22</v>
      </c>
      <c r="H467" s="2">
        <v>43299</v>
      </c>
      <c r="I467">
        <v>71167</v>
      </c>
      <c r="J467">
        <v>0</v>
      </c>
      <c r="K467">
        <v>71167</v>
      </c>
      <c r="L467" s="1" t="s">
        <v>23</v>
      </c>
      <c r="M467" s="1" t="s">
        <v>74</v>
      </c>
      <c r="N467" s="2"/>
      <c r="O467">
        <v>466</v>
      </c>
      <c r="P467">
        <v>0</v>
      </c>
      <c r="Q467" t="s">
        <v>25</v>
      </c>
      <c r="R467">
        <f ca="1">DATEDIF(EMP_RAW_Data[[#This Row],[Hire Date]],IF(EMP_RAW_Data[[#This Row],[Exit Date]]="",TODAY(),EMP_RAW_Data[[#This Row],[Exit Date]]),"Y")</f>
        <v>7</v>
      </c>
      <c r="S467" t="str">
        <f>IF(EMP_RAW_Data[[#This Row],[Status]]=1,"Inactive","Active")</f>
        <v>Active</v>
      </c>
    </row>
    <row r="468" spans="1:19" hidden="1" x14ac:dyDescent="0.3">
      <c r="A468" s="1" t="s">
        <v>551</v>
      </c>
      <c r="B468" s="1" t="s">
        <v>27</v>
      </c>
      <c r="C468" s="1" t="s">
        <v>19</v>
      </c>
      <c r="D468" s="1" t="s">
        <v>35</v>
      </c>
      <c r="E468" s="1" t="s">
        <v>21</v>
      </c>
      <c r="F468">
        <v>59</v>
      </c>
      <c r="G468" t="s">
        <v>22</v>
      </c>
      <c r="H468" s="2">
        <v>40272</v>
      </c>
      <c r="I468">
        <v>76027</v>
      </c>
      <c r="J468">
        <v>0</v>
      </c>
      <c r="K468">
        <v>76027</v>
      </c>
      <c r="L468" s="1" t="s">
        <v>23</v>
      </c>
      <c r="M468" s="1" t="s">
        <v>24</v>
      </c>
      <c r="N468" s="2"/>
      <c r="O468">
        <v>467</v>
      </c>
      <c r="P468">
        <v>0</v>
      </c>
      <c r="Q468" t="s">
        <v>25</v>
      </c>
      <c r="R468">
        <f ca="1">DATEDIF(EMP_RAW_Data[[#This Row],[Hire Date]],IF(EMP_RAW_Data[[#This Row],[Exit Date]]="",TODAY(),EMP_RAW_Data[[#This Row],[Exit Date]]),"Y")</f>
        <v>15</v>
      </c>
      <c r="S468" t="str">
        <f>IF(EMP_RAW_Data[[#This Row],[Status]]=1,"Inactive","Active")</f>
        <v>Active</v>
      </c>
    </row>
    <row r="469" spans="1:19" hidden="1" x14ac:dyDescent="0.3">
      <c r="A469" s="1" t="s">
        <v>552</v>
      </c>
      <c r="B469" s="1" t="s">
        <v>33</v>
      </c>
      <c r="C469" s="1" t="s">
        <v>62</v>
      </c>
      <c r="D469" s="1" t="s">
        <v>47</v>
      </c>
      <c r="E469" s="1" t="s">
        <v>29</v>
      </c>
      <c r="F469">
        <v>48</v>
      </c>
      <c r="G469" t="s">
        <v>36</v>
      </c>
      <c r="H469" s="2">
        <v>43809</v>
      </c>
      <c r="I469">
        <v>183113</v>
      </c>
      <c r="J469">
        <v>0.24</v>
      </c>
      <c r="K469">
        <v>227060.12</v>
      </c>
      <c r="L469" s="1" t="s">
        <v>77</v>
      </c>
      <c r="M469" s="1" t="s">
        <v>81</v>
      </c>
      <c r="N469" s="2"/>
      <c r="O469">
        <v>468</v>
      </c>
      <c r="P469">
        <v>0</v>
      </c>
      <c r="Q469" t="s">
        <v>25</v>
      </c>
      <c r="R469">
        <f ca="1">DATEDIF(EMP_RAW_Data[[#This Row],[Hire Date]],IF(EMP_RAW_Data[[#This Row],[Exit Date]]="",TODAY(),EMP_RAW_Data[[#This Row],[Exit Date]]),"Y")</f>
        <v>6</v>
      </c>
      <c r="S469" t="str">
        <f>IF(EMP_RAW_Data[[#This Row],[Status]]=1,"Inactive","Active")</f>
        <v>Active</v>
      </c>
    </row>
    <row r="470" spans="1:19" hidden="1" x14ac:dyDescent="0.3">
      <c r="A470" s="1" t="s">
        <v>553</v>
      </c>
      <c r="B470" s="1" t="s">
        <v>96</v>
      </c>
      <c r="C470" s="1" t="s">
        <v>54</v>
      </c>
      <c r="D470" s="1" t="s">
        <v>28</v>
      </c>
      <c r="E470" s="1" t="s">
        <v>29</v>
      </c>
      <c r="F470">
        <v>30</v>
      </c>
      <c r="G470" t="s">
        <v>40</v>
      </c>
      <c r="H470" s="2">
        <v>44124</v>
      </c>
      <c r="I470">
        <v>67753</v>
      </c>
      <c r="J470">
        <v>0</v>
      </c>
      <c r="K470">
        <v>67753</v>
      </c>
      <c r="L470" s="1" t="s">
        <v>23</v>
      </c>
      <c r="M470" s="1" t="s">
        <v>43</v>
      </c>
      <c r="N470" s="2"/>
      <c r="O470">
        <v>469</v>
      </c>
      <c r="P470">
        <v>0</v>
      </c>
      <c r="Q470" t="s">
        <v>25</v>
      </c>
      <c r="R470">
        <f ca="1">DATEDIF(EMP_RAW_Data[[#This Row],[Hire Date]],IF(EMP_RAW_Data[[#This Row],[Exit Date]]="",TODAY(),EMP_RAW_Data[[#This Row],[Exit Date]]),"Y")</f>
        <v>5</v>
      </c>
      <c r="S470" t="str">
        <f>IF(EMP_RAW_Data[[#This Row],[Status]]=1,"Inactive","Active")</f>
        <v>Active</v>
      </c>
    </row>
    <row r="471" spans="1:19" hidden="1" x14ac:dyDescent="0.3">
      <c r="A471" s="1" t="s">
        <v>554</v>
      </c>
      <c r="B471" s="1" t="s">
        <v>39</v>
      </c>
      <c r="C471" s="1" t="s">
        <v>19</v>
      </c>
      <c r="D471" s="1" t="s">
        <v>47</v>
      </c>
      <c r="E471" s="1" t="s">
        <v>29</v>
      </c>
      <c r="F471">
        <v>31</v>
      </c>
      <c r="G471" t="s">
        <v>40</v>
      </c>
      <c r="H471" s="2">
        <v>42656</v>
      </c>
      <c r="I471">
        <v>63744</v>
      </c>
      <c r="J471">
        <v>0.08</v>
      </c>
      <c r="K471">
        <v>68843.520000000004</v>
      </c>
      <c r="L471" s="1" t="s">
        <v>23</v>
      </c>
      <c r="M471" s="1" t="s">
        <v>55</v>
      </c>
      <c r="N471" s="2"/>
      <c r="O471">
        <v>470</v>
      </c>
      <c r="P471">
        <v>0</v>
      </c>
      <c r="Q471" t="s">
        <v>25</v>
      </c>
      <c r="R471">
        <f ca="1">DATEDIF(EMP_RAW_Data[[#This Row],[Hire Date]],IF(EMP_RAW_Data[[#This Row],[Exit Date]]="",TODAY(),EMP_RAW_Data[[#This Row],[Exit Date]]),"Y")</f>
        <v>9</v>
      </c>
      <c r="S471" t="str">
        <f>IF(EMP_RAW_Data[[#This Row],[Status]]=1,"Inactive","Active")</f>
        <v>Active</v>
      </c>
    </row>
    <row r="472" spans="1:19" hidden="1" x14ac:dyDescent="0.3">
      <c r="A472" s="1" t="s">
        <v>555</v>
      </c>
      <c r="B472" s="1" t="s">
        <v>86</v>
      </c>
      <c r="C472" s="1" t="s">
        <v>62</v>
      </c>
      <c r="D472" s="1" t="s">
        <v>28</v>
      </c>
      <c r="E472" s="1" t="s">
        <v>21</v>
      </c>
      <c r="F472">
        <v>50</v>
      </c>
      <c r="G472" t="s">
        <v>36</v>
      </c>
      <c r="H472" s="2">
        <v>37446</v>
      </c>
      <c r="I472">
        <v>92209</v>
      </c>
      <c r="J472">
        <v>0</v>
      </c>
      <c r="K472">
        <v>92209</v>
      </c>
      <c r="L472" s="1" t="s">
        <v>30</v>
      </c>
      <c r="M472" s="1" t="s">
        <v>65</v>
      </c>
      <c r="N472" s="2"/>
      <c r="O472">
        <v>471</v>
      </c>
      <c r="P472">
        <v>0</v>
      </c>
      <c r="Q472" t="s">
        <v>25</v>
      </c>
      <c r="R472">
        <f ca="1">DATEDIF(EMP_RAW_Data[[#This Row],[Hire Date]],IF(EMP_RAW_Data[[#This Row],[Exit Date]]="",TODAY(),EMP_RAW_Data[[#This Row],[Exit Date]]),"Y")</f>
        <v>23</v>
      </c>
      <c r="S472" t="str">
        <f>IF(EMP_RAW_Data[[#This Row],[Status]]=1,"Inactive","Active")</f>
        <v>Active</v>
      </c>
    </row>
    <row r="473" spans="1:19" hidden="1" x14ac:dyDescent="0.3">
      <c r="A473" s="1" t="s">
        <v>556</v>
      </c>
      <c r="B473" s="1" t="s">
        <v>18</v>
      </c>
      <c r="C473" s="1" t="s">
        <v>46</v>
      </c>
      <c r="D473" s="1" t="s">
        <v>47</v>
      </c>
      <c r="E473" s="1" t="s">
        <v>29</v>
      </c>
      <c r="F473">
        <v>51</v>
      </c>
      <c r="G473" t="s">
        <v>36</v>
      </c>
      <c r="H473" s="2">
        <v>36770</v>
      </c>
      <c r="I473">
        <v>157487</v>
      </c>
      <c r="J473">
        <v>0.12</v>
      </c>
      <c r="K473">
        <v>176385.44</v>
      </c>
      <c r="L473" s="1" t="s">
        <v>23</v>
      </c>
      <c r="M473" s="1" t="s">
        <v>43</v>
      </c>
      <c r="N473" s="2"/>
      <c r="O473">
        <v>472</v>
      </c>
      <c r="P473">
        <v>0</v>
      </c>
      <c r="Q473" t="s">
        <v>25</v>
      </c>
      <c r="R473">
        <f ca="1">DATEDIF(EMP_RAW_Data[[#This Row],[Hire Date]],IF(EMP_RAW_Data[[#This Row],[Exit Date]]="",TODAY(),EMP_RAW_Data[[#This Row],[Exit Date]]),"Y")</f>
        <v>25</v>
      </c>
      <c r="S473" t="str">
        <f>IF(EMP_RAW_Data[[#This Row],[Status]]=1,"Inactive","Active")</f>
        <v>Active</v>
      </c>
    </row>
    <row r="474" spans="1:19" hidden="1" x14ac:dyDescent="0.3">
      <c r="A474" s="1" t="s">
        <v>557</v>
      </c>
      <c r="B474" s="1" t="s">
        <v>42</v>
      </c>
      <c r="C474" s="1" t="s">
        <v>69</v>
      </c>
      <c r="D474" s="1" t="s">
        <v>20</v>
      </c>
      <c r="E474" s="1" t="s">
        <v>29</v>
      </c>
      <c r="F474">
        <v>42</v>
      </c>
      <c r="G474" t="s">
        <v>59</v>
      </c>
      <c r="H474" s="2">
        <v>42101</v>
      </c>
      <c r="I474">
        <v>99697</v>
      </c>
      <c r="J474">
        <v>0</v>
      </c>
      <c r="K474">
        <v>99697</v>
      </c>
      <c r="L474" s="1" t="s">
        <v>77</v>
      </c>
      <c r="M474" s="1" t="s">
        <v>81</v>
      </c>
      <c r="N474" s="2"/>
      <c r="O474">
        <v>473</v>
      </c>
      <c r="P474">
        <v>0</v>
      </c>
      <c r="Q474" t="s">
        <v>25</v>
      </c>
      <c r="R474">
        <f ca="1">DATEDIF(EMP_RAW_Data[[#This Row],[Hire Date]],IF(EMP_RAW_Data[[#This Row],[Exit Date]]="",TODAY(),EMP_RAW_Data[[#This Row],[Exit Date]]),"Y")</f>
        <v>10</v>
      </c>
      <c r="S474" t="str">
        <f>IF(EMP_RAW_Data[[#This Row],[Status]]=1,"Inactive","Active")</f>
        <v>Active</v>
      </c>
    </row>
    <row r="475" spans="1:19" hidden="1" x14ac:dyDescent="0.3">
      <c r="A475" s="1" t="s">
        <v>558</v>
      </c>
      <c r="B475" s="1" t="s">
        <v>290</v>
      </c>
      <c r="C475" s="1" t="s">
        <v>19</v>
      </c>
      <c r="D475" s="1" t="s">
        <v>20</v>
      </c>
      <c r="E475" s="1" t="s">
        <v>29</v>
      </c>
      <c r="F475">
        <v>45</v>
      </c>
      <c r="G475" t="s">
        <v>36</v>
      </c>
      <c r="H475" s="2">
        <v>40235</v>
      </c>
      <c r="I475">
        <v>90770</v>
      </c>
      <c r="J475">
        <v>0</v>
      </c>
      <c r="K475">
        <v>90770</v>
      </c>
      <c r="L475" s="1" t="s">
        <v>23</v>
      </c>
      <c r="M475" s="1" t="s">
        <v>74</v>
      </c>
      <c r="N475" s="2"/>
      <c r="O475">
        <v>474</v>
      </c>
      <c r="P475">
        <v>0</v>
      </c>
      <c r="Q475" t="s">
        <v>25</v>
      </c>
      <c r="R475">
        <f ca="1">DATEDIF(EMP_RAW_Data[[#This Row],[Hire Date]],IF(EMP_RAW_Data[[#This Row],[Exit Date]]="",TODAY(),EMP_RAW_Data[[#This Row],[Exit Date]]),"Y")</f>
        <v>16</v>
      </c>
      <c r="S475" t="str">
        <f>IF(EMP_RAW_Data[[#This Row],[Status]]=1,"Inactive","Active")</f>
        <v>Active</v>
      </c>
    </row>
    <row r="476" spans="1:19" hidden="1" x14ac:dyDescent="0.3">
      <c r="A476" s="1" t="s">
        <v>559</v>
      </c>
      <c r="B476" s="1" t="s">
        <v>51</v>
      </c>
      <c r="C476" s="1" t="s">
        <v>46</v>
      </c>
      <c r="D476" s="1" t="s">
        <v>35</v>
      </c>
      <c r="E476" s="1" t="s">
        <v>21</v>
      </c>
      <c r="F476">
        <v>64</v>
      </c>
      <c r="G476" t="s">
        <v>22</v>
      </c>
      <c r="H476" s="2">
        <v>38380</v>
      </c>
      <c r="I476">
        <v>55369</v>
      </c>
      <c r="J476">
        <v>0</v>
      </c>
      <c r="K476">
        <v>55369</v>
      </c>
      <c r="L476" s="1" t="s">
        <v>23</v>
      </c>
      <c r="M476" s="1" t="s">
        <v>43</v>
      </c>
      <c r="N476" s="2"/>
      <c r="O476">
        <v>475</v>
      </c>
      <c r="P476">
        <v>0</v>
      </c>
      <c r="Q476" t="s">
        <v>25</v>
      </c>
      <c r="R476">
        <f ca="1">DATEDIF(EMP_RAW_Data[[#This Row],[Hire Date]],IF(EMP_RAW_Data[[#This Row],[Exit Date]]="",TODAY(),EMP_RAW_Data[[#This Row],[Exit Date]]),"Y")</f>
        <v>21</v>
      </c>
      <c r="S476" t="str">
        <f>IF(EMP_RAW_Data[[#This Row],[Status]]=1,"Inactive","Active")</f>
        <v>Active</v>
      </c>
    </row>
    <row r="477" spans="1:19" hidden="1" x14ac:dyDescent="0.3">
      <c r="A477" s="1" t="s">
        <v>560</v>
      </c>
      <c r="B477" s="1" t="s">
        <v>124</v>
      </c>
      <c r="C477" s="1" t="s">
        <v>62</v>
      </c>
      <c r="D477" s="1" t="s">
        <v>35</v>
      </c>
      <c r="E477" s="1" t="s">
        <v>21</v>
      </c>
      <c r="F477">
        <v>59</v>
      </c>
      <c r="G477" t="s">
        <v>22</v>
      </c>
      <c r="H477" s="2">
        <v>41898</v>
      </c>
      <c r="I477">
        <v>69578</v>
      </c>
      <c r="J477">
        <v>0</v>
      </c>
      <c r="K477">
        <v>69578</v>
      </c>
      <c r="L477" s="1" t="s">
        <v>77</v>
      </c>
      <c r="M477" s="1" t="s">
        <v>81</v>
      </c>
      <c r="N477" s="2"/>
      <c r="O477">
        <v>476</v>
      </c>
      <c r="P477">
        <v>0</v>
      </c>
      <c r="Q477" t="s">
        <v>25</v>
      </c>
      <c r="R477">
        <f ca="1">DATEDIF(EMP_RAW_Data[[#This Row],[Hire Date]],IF(EMP_RAW_Data[[#This Row],[Exit Date]]="",TODAY(),EMP_RAW_Data[[#This Row],[Exit Date]]),"Y")</f>
        <v>11</v>
      </c>
      <c r="S477" t="str">
        <f>IF(EMP_RAW_Data[[#This Row],[Status]]=1,"Inactive","Active")</f>
        <v>Active</v>
      </c>
    </row>
    <row r="478" spans="1:19" hidden="1" x14ac:dyDescent="0.3">
      <c r="A478" s="1" t="s">
        <v>561</v>
      </c>
      <c r="B478" s="1" t="s">
        <v>33</v>
      </c>
      <c r="C478" s="1" t="s">
        <v>54</v>
      </c>
      <c r="D478" s="1" t="s">
        <v>35</v>
      </c>
      <c r="E478" s="1" t="s">
        <v>29</v>
      </c>
      <c r="F478">
        <v>41</v>
      </c>
      <c r="G478" t="s">
        <v>59</v>
      </c>
      <c r="H478" s="2">
        <v>41429</v>
      </c>
      <c r="I478">
        <v>167526</v>
      </c>
      <c r="J478">
        <v>0.26</v>
      </c>
      <c r="K478">
        <v>211082.76</v>
      </c>
      <c r="L478" s="1" t="s">
        <v>23</v>
      </c>
      <c r="M478" s="1" t="s">
        <v>52</v>
      </c>
      <c r="N478" s="2"/>
      <c r="O478">
        <v>477</v>
      </c>
      <c r="P478">
        <v>0</v>
      </c>
      <c r="Q478" t="s">
        <v>25</v>
      </c>
      <c r="R478">
        <f ca="1">DATEDIF(EMP_RAW_Data[[#This Row],[Hire Date]],IF(EMP_RAW_Data[[#This Row],[Exit Date]]="",TODAY(),EMP_RAW_Data[[#This Row],[Exit Date]]),"Y")</f>
        <v>12</v>
      </c>
      <c r="S478" t="str">
        <f>IF(EMP_RAW_Data[[#This Row],[Status]]=1,"Inactive","Active")</f>
        <v>Active</v>
      </c>
    </row>
    <row r="479" spans="1:19" hidden="1" x14ac:dyDescent="0.3">
      <c r="A479" s="1" t="s">
        <v>562</v>
      </c>
      <c r="B479" s="1" t="s">
        <v>124</v>
      </c>
      <c r="C479" s="1" t="s">
        <v>62</v>
      </c>
      <c r="D479" s="1" t="s">
        <v>35</v>
      </c>
      <c r="E479" s="1" t="s">
        <v>21</v>
      </c>
      <c r="F479">
        <v>42</v>
      </c>
      <c r="G479" t="s">
        <v>59</v>
      </c>
      <c r="H479" s="2">
        <v>44232</v>
      </c>
      <c r="I479">
        <v>65507</v>
      </c>
      <c r="J479">
        <v>0</v>
      </c>
      <c r="K479">
        <v>65507</v>
      </c>
      <c r="L479" s="1" t="s">
        <v>77</v>
      </c>
      <c r="M479" s="1" t="s">
        <v>78</v>
      </c>
      <c r="N479" s="2"/>
      <c r="O479">
        <v>478</v>
      </c>
      <c r="P479">
        <v>0</v>
      </c>
      <c r="Q479" t="s">
        <v>25</v>
      </c>
      <c r="R479">
        <f ca="1">DATEDIF(EMP_RAW_Data[[#This Row],[Hire Date]],IF(EMP_RAW_Data[[#This Row],[Exit Date]]="",TODAY(),EMP_RAW_Data[[#This Row],[Exit Date]]),"Y")</f>
        <v>5</v>
      </c>
      <c r="S479" t="str">
        <f>IF(EMP_RAW_Data[[#This Row],[Status]]=1,"Inactive","Active")</f>
        <v>Active</v>
      </c>
    </row>
    <row r="480" spans="1:19" x14ac:dyDescent="0.3">
      <c r="A480" s="1" t="s">
        <v>563</v>
      </c>
      <c r="B480" s="1" t="s">
        <v>49</v>
      </c>
      <c r="C480" s="1" t="s">
        <v>34</v>
      </c>
      <c r="D480" s="1" t="s">
        <v>20</v>
      </c>
      <c r="E480" s="1" t="s">
        <v>29</v>
      </c>
      <c r="F480">
        <v>54</v>
      </c>
      <c r="G480" t="s">
        <v>36</v>
      </c>
      <c r="H480" s="2">
        <v>35913</v>
      </c>
      <c r="I480">
        <v>108268</v>
      </c>
      <c r="J480">
        <v>0.09</v>
      </c>
      <c r="K480">
        <v>118012.12</v>
      </c>
      <c r="L480" s="1" t="s">
        <v>77</v>
      </c>
      <c r="M480" s="1" t="s">
        <v>148</v>
      </c>
      <c r="N480" s="2">
        <v>38122</v>
      </c>
      <c r="O480">
        <v>479</v>
      </c>
      <c r="P480">
        <v>1</v>
      </c>
      <c r="Q480" t="s">
        <v>25</v>
      </c>
      <c r="R480">
        <f ca="1">DATEDIF(EMP_RAW_Data[[#This Row],[Hire Date]],IF(EMP_RAW_Data[[#This Row],[Exit Date]]="",TODAY(),EMP_RAW_Data[[#This Row],[Exit Date]]),"Y")</f>
        <v>6</v>
      </c>
      <c r="S480" t="str">
        <f>IF(EMP_RAW_Data[[#This Row],[Status]]=1,"Inactive","Active")</f>
        <v>Inactive</v>
      </c>
    </row>
    <row r="481" spans="1:19" hidden="1" x14ac:dyDescent="0.3">
      <c r="A481" s="1" t="s">
        <v>564</v>
      </c>
      <c r="B481" s="1" t="s">
        <v>27</v>
      </c>
      <c r="C481" s="1" t="s">
        <v>19</v>
      </c>
      <c r="D481" s="1" t="s">
        <v>20</v>
      </c>
      <c r="E481" s="1" t="s">
        <v>29</v>
      </c>
      <c r="F481">
        <v>37</v>
      </c>
      <c r="G481" t="s">
        <v>59</v>
      </c>
      <c r="H481" s="2">
        <v>42405</v>
      </c>
      <c r="I481">
        <v>80055</v>
      </c>
      <c r="J481">
        <v>0</v>
      </c>
      <c r="K481">
        <v>80055</v>
      </c>
      <c r="L481" s="1" t="s">
        <v>30</v>
      </c>
      <c r="M481" s="1" t="s">
        <v>90</v>
      </c>
      <c r="N481" s="2"/>
      <c r="O481">
        <v>480</v>
      </c>
      <c r="P481">
        <v>0</v>
      </c>
      <c r="Q481" t="s">
        <v>25</v>
      </c>
      <c r="R481">
        <f ca="1">DATEDIF(EMP_RAW_Data[[#This Row],[Hire Date]],IF(EMP_RAW_Data[[#This Row],[Exit Date]]="",TODAY(),EMP_RAW_Data[[#This Row],[Exit Date]]),"Y")</f>
        <v>10</v>
      </c>
      <c r="S481" t="str">
        <f>IF(EMP_RAW_Data[[#This Row],[Status]]=1,"Inactive","Active")</f>
        <v>Active</v>
      </c>
    </row>
    <row r="482" spans="1:19" hidden="1" x14ac:dyDescent="0.3">
      <c r="A482" s="1" t="s">
        <v>565</v>
      </c>
      <c r="B482" s="1" t="s">
        <v>42</v>
      </c>
      <c r="C482" s="1" t="s">
        <v>46</v>
      </c>
      <c r="D482" s="1" t="s">
        <v>20</v>
      </c>
      <c r="E482" s="1" t="s">
        <v>29</v>
      </c>
      <c r="F482">
        <v>58</v>
      </c>
      <c r="G482" t="s">
        <v>22</v>
      </c>
      <c r="H482" s="2">
        <v>39930</v>
      </c>
      <c r="I482">
        <v>76802</v>
      </c>
      <c r="J482">
        <v>0</v>
      </c>
      <c r="K482">
        <v>76802</v>
      </c>
      <c r="L482" s="1" t="s">
        <v>77</v>
      </c>
      <c r="M482" s="1" t="s">
        <v>78</v>
      </c>
      <c r="N482" s="2"/>
      <c r="O482">
        <v>481</v>
      </c>
      <c r="P482">
        <v>0</v>
      </c>
      <c r="Q482" t="s">
        <v>25</v>
      </c>
      <c r="R482">
        <f ca="1">DATEDIF(EMP_RAW_Data[[#This Row],[Hire Date]],IF(EMP_RAW_Data[[#This Row],[Exit Date]]="",TODAY(),EMP_RAW_Data[[#This Row],[Exit Date]]),"Y")</f>
        <v>16</v>
      </c>
      <c r="S482" t="str">
        <f>IF(EMP_RAW_Data[[#This Row],[Status]]=1,"Inactive","Active")</f>
        <v>Active</v>
      </c>
    </row>
    <row r="483" spans="1:19" hidden="1" x14ac:dyDescent="0.3">
      <c r="A483" s="1" t="s">
        <v>566</v>
      </c>
      <c r="B483" s="1" t="s">
        <v>68</v>
      </c>
      <c r="C483" s="1" t="s">
        <v>46</v>
      </c>
      <c r="D483" s="1" t="s">
        <v>35</v>
      </c>
      <c r="E483" s="1" t="s">
        <v>29</v>
      </c>
      <c r="F483">
        <v>47</v>
      </c>
      <c r="G483" t="s">
        <v>36</v>
      </c>
      <c r="H483" s="2">
        <v>42696</v>
      </c>
      <c r="I483">
        <v>253249</v>
      </c>
      <c r="J483">
        <v>0.31</v>
      </c>
      <c r="K483">
        <v>331756.19</v>
      </c>
      <c r="L483" s="1" t="s">
        <v>23</v>
      </c>
      <c r="M483" s="1" t="s">
        <v>55</v>
      </c>
      <c r="N483" s="2"/>
      <c r="O483">
        <v>482</v>
      </c>
      <c r="P483">
        <v>0</v>
      </c>
      <c r="Q483" t="s">
        <v>25</v>
      </c>
      <c r="R483">
        <f ca="1">DATEDIF(EMP_RAW_Data[[#This Row],[Hire Date]],IF(EMP_RAW_Data[[#This Row],[Exit Date]]="",TODAY(),EMP_RAW_Data[[#This Row],[Exit Date]]),"Y")</f>
        <v>9</v>
      </c>
      <c r="S483" t="str">
        <f>IF(EMP_RAW_Data[[#This Row],[Status]]=1,"Inactive","Active")</f>
        <v>Active</v>
      </c>
    </row>
    <row r="484" spans="1:19" hidden="1" x14ac:dyDescent="0.3">
      <c r="A484" s="1" t="s">
        <v>567</v>
      </c>
      <c r="B484" s="1" t="s">
        <v>107</v>
      </c>
      <c r="C484" s="1" t="s">
        <v>58</v>
      </c>
      <c r="D484" s="1" t="s">
        <v>20</v>
      </c>
      <c r="E484" s="1" t="s">
        <v>21</v>
      </c>
      <c r="F484">
        <v>60</v>
      </c>
      <c r="G484" t="s">
        <v>22</v>
      </c>
      <c r="H484" s="2">
        <v>38667</v>
      </c>
      <c r="I484">
        <v>78388</v>
      </c>
      <c r="J484">
        <v>0</v>
      </c>
      <c r="K484">
        <v>78388</v>
      </c>
      <c r="L484" s="1" t="s">
        <v>30</v>
      </c>
      <c r="M484" s="1" t="s">
        <v>31</v>
      </c>
      <c r="N484" s="2"/>
      <c r="O484">
        <v>483</v>
      </c>
      <c r="P484">
        <v>0</v>
      </c>
      <c r="Q484" t="s">
        <v>25</v>
      </c>
      <c r="R484">
        <f ca="1">DATEDIF(EMP_RAW_Data[[#This Row],[Hire Date]],IF(EMP_RAW_Data[[#This Row],[Exit Date]]="",TODAY(),EMP_RAW_Data[[#This Row],[Exit Date]]),"Y")</f>
        <v>20</v>
      </c>
      <c r="S484" t="str">
        <f>IF(EMP_RAW_Data[[#This Row],[Status]]=1,"Inactive","Active")</f>
        <v>Active</v>
      </c>
    </row>
    <row r="485" spans="1:19" hidden="1" x14ac:dyDescent="0.3">
      <c r="A485" s="1" t="s">
        <v>568</v>
      </c>
      <c r="B485" s="1" t="s">
        <v>68</v>
      </c>
      <c r="C485" s="1" t="s">
        <v>19</v>
      </c>
      <c r="D485" s="1" t="s">
        <v>47</v>
      </c>
      <c r="E485" s="1" t="s">
        <v>29</v>
      </c>
      <c r="F485">
        <v>38</v>
      </c>
      <c r="G485" t="s">
        <v>59</v>
      </c>
      <c r="H485" s="2">
        <v>42543</v>
      </c>
      <c r="I485">
        <v>249870</v>
      </c>
      <c r="J485">
        <v>0.34</v>
      </c>
      <c r="K485">
        <v>334825.8</v>
      </c>
      <c r="L485" s="1" t="s">
        <v>23</v>
      </c>
      <c r="M485" s="1" t="s">
        <v>37</v>
      </c>
      <c r="N485" s="2"/>
      <c r="O485">
        <v>484</v>
      </c>
      <c r="P485">
        <v>0</v>
      </c>
      <c r="Q485" t="s">
        <v>25</v>
      </c>
      <c r="R485">
        <f ca="1">DATEDIF(EMP_RAW_Data[[#This Row],[Hire Date]],IF(EMP_RAW_Data[[#This Row],[Exit Date]]="",TODAY(),EMP_RAW_Data[[#This Row],[Exit Date]]),"Y")</f>
        <v>9</v>
      </c>
      <c r="S485" t="str">
        <f>IF(EMP_RAW_Data[[#This Row],[Status]]=1,"Inactive","Active")</f>
        <v>Active</v>
      </c>
    </row>
    <row r="486" spans="1:19" hidden="1" x14ac:dyDescent="0.3">
      <c r="A486" s="1" t="s">
        <v>569</v>
      </c>
      <c r="B486" s="1" t="s">
        <v>18</v>
      </c>
      <c r="C486" s="1" t="s">
        <v>69</v>
      </c>
      <c r="D486" s="1" t="s">
        <v>28</v>
      </c>
      <c r="E486" s="1" t="s">
        <v>29</v>
      </c>
      <c r="F486">
        <v>63</v>
      </c>
      <c r="G486" t="s">
        <v>22</v>
      </c>
      <c r="H486" s="2">
        <v>42064</v>
      </c>
      <c r="I486">
        <v>148321</v>
      </c>
      <c r="J486">
        <v>0.15</v>
      </c>
      <c r="K486">
        <v>170569.15</v>
      </c>
      <c r="L486" s="1" t="s">
        <v>30</v>
      </c>
      <c r="M486" s="1" t="s">
        <v>90</v>
      </c>
      <c r="N486" s="2"/>
      <c r="O486">
        <v>485</v>
      </c>
      <c r="P486">
        <v>0</v>
      </c>
      <c r="Q486" t="s">
        <v>25</v>
      </c>
      <c r="R486">
        <f ca="1">DATEDIF(EMP_RAW_Data[[#This Row],[Hire Date]],IF(EMP_RAW_Data[[#This Row],[Exit Date]]="",TODAY(),EMP_RAW_Data[[#This Row],[Exit Date]]),"Y")</f>
        <v>11</v>
      </c>
      <c r="S486" t="str">
        <f>IF(EMP_RAW_Data[[#This Row],[Status]]=1,"Inactive","Active")</f>
        <v>Active</v>
      </c>
    </row>
    <row r="487" spans="1:19" hidden="1" x14ac:dyDescent="0.3">
      <c r="A487" s="1" t="s">
        <v>570</v>
      </c>
      <c r="B487" s="1" t="s">
        <v>278</v>
      </c>
      <c r="C487" s="1" t="s">
        <v>19</v>
      </c>
      <c r="D487" s="1" t="s">
        <v>47</v>
      </c>
      <c r="E487" s="1" t="s">
        <v>21</v>
      </c>
      <c r="F487">
        <v>60</v>
      </c>
      <c r="G487" t="s">
        <v>22</v>
      </c>
      <c r="H487" s="2">
        <v>38027</v>
      </c>
      <c r="I487">
        <v>90258</v>
      </c>
      <c r="J487">
        <v>0</v>
      </c>
      <c r="K487">
        <v>90258</v>
      </c>
      <c r="L487" s="1" t="s">
        <v>30</v>
      </c>
      <c r="M487" s="1" t="s">
        <v>31</v>
      </c>
      <c r="N487" s="2"/>
      <c r="O487">
        <v>486</v>
      </c>
      <c r="P487">
        <v>0</v>
      </c>
      <c r="Q487" t="s">
        <v>25</v>
      </c>
      <c r="R487">
        <f ca="1">DATEDIF(EMP_RAW_Data[[#This Row],[Hire Date]],IF(EMP_RAW_Data[[#This Row],[Exit Date]]="",TODAY(),EMP_RAW_Data[[#This Row],[Exit Date]]),"Y")</f>
        <v>22</v>
      </c>
      <c r="S487" t="str">
        <f>IF(EMP_RAW_Data[[#This Row],[Status]]=1,"Inactive","Active")</f>
        <v>Active</v>
      </c>
    </row>
    <row r="488" spans="1:19" hidden="1" x14ac:dyDescent="0.3">
      <c r="A488" s="1" t="s">
        <v>571</v>
      </c>
      <c r="B488" s="1" t="s">
        <v>192</v>
      </c>
      <c r="C488" s="1" t="s">
        <v>19</v>
      </c>
      <c r="D488" s="1" t="s">
        <v>28</v>
      </c>
      <c r="E488" s="1" t="s">
        <v>21</v>
      </c>
      <c r="F488">
        <v>42</v>
      </c>
      <c r="G488" t="s">
        <v>59</v>
      </c>
      <c r="H488" s="2">
        <v>40593</v>
      </c>
      <c r="I488">
        <v>72486</v>
      </c>
      <c r="J488">
        <v>0</v>
      </c>
      <c r="K488">
        <v>72486</v>
      </c>
      <c r="L488" s="1" t="s">
        <v>23</v>
      </c>
      <c r="M488" s="1" t="s">
        <v>24</v>
      </c>
      <c r="N488" s="2"/>
      <c r="O488">
        <v>487</v>
      </c>
      <c r="P488">
        <v>0</v>
      </c>
      <c r="Q488" t="s">
        <v>25</v>
      </c>
      <c r="R488">
        <f ca="1">DATEDIF(EMP_RAW_Data[[#This Row],[Hire Date]],IF(EMP_RAW_Data[[#This Row],[Exit Date]]="",TODAY(),EMP_RAW_Data[[#This Row],[Exit Date]]),"Y")</f>
        <v>15</v>
      </c>
      <c r="S488" t="str">
        <f>IF(EMP_RAW_Data[[#This Row],[Status]]=1,"Inactive","Active")</f>
        <v>Active</v>
      </c>
    </row>
    <row r="489" spans="1:19" x14ac:dyDescent="0.3">
      <c r="A489" s="1" t="s">
        <v>572</v>
      </c>
      <c r="B489" s="1" t="s">
        <v>42</v>
      </c>
      <c r="C489" s="1" t="s">
        <v>34</v>
      </c>
      <c r="D489" s="1" t="s">
        <v>47</v>
      </c>
      <c r="E489" s="1" t="s">
        <v>29</v>
      </c>
      <c r="F489">
        <v>34</v>
      </c>
      <c r="G489" t="s">
        <v>40</v>
      </c>
      <c r="H489" s="2">
        <v>41886</v>
      </c>
      <c r="I489">
        <v>95499</v>
      </c>
      <c r="J489">
        <v>0</v>
      </c>
      <c r="K489">
        <v>95499</v>
      </c>
      <c r="L489" s="1" t="s">
        <v>77</v>
      </c>
      <c r="M489" s="1" t="s">
        <v>148</v>
      </c>
      <c r="N489" s="2">
        <v>42958</v>
      </c>
      <c r="O489">
        <v>488</v>
      </c>
      <c r="P489">
        <v>1</v>
      </c>
      <c r="Q489" t="s">
        <v>25</v>
      </c>
      <c r="R489">
        <f ca="1">DATEDIF(EMP_RAW_Data[[#This Row],[Hire Date]],IF(EMP_RAW_Data[[#This Row],[Exit Date]]="",TODAY(),EMP_RAW_Data[[#This Row],[Exit Date]]),"Y")</f>
        <v>2</v>
      </c>
      <c r="S489" t="str">
        <f>IF(EMP_RAW_Data[[#This Row],[Status]]=1,"Inactive","Active")</f>
        <v>Inactive</v>
      </c>
    </row>
    <row r="490" spans="1:19" hidden="1" x14ac:dyDescent="0.3">
      <c r="A490" s="1" t="s">
        <v>573</v>
      </c>
      <c r="B490" s="1" t="s">
        <v>42</v>
      </c>
      <c r="C490" s="1" t="s">
        <v>54</v>
      </c>
      <c r="D490" s="1" t="s">
        <v>20</v>
      </c>
      <c r="E490" s="1" t="s">
        <v>21</v>
      </c>
      <c r="F490">
        <v>53</v>
      </c>
      <c r="G490" t="s">
        <v>36</v>
      </c>
      <c r="H490" s="2">
        <v>38344</v>
      </c>
      <c r="I490">
        <v>90212</v>
      </c>
      <c r="J490">
        <v>0</v>
      </c>
      <c r="K490">
        <v>90212</v>
      </c>
      <c r="L490" s="1" t="s">
        <v>77</v>
      </c>
      <c r="M490" s="1" t="s">
        <v>148</v>
      </c>
      <c r="N490" s="2"/>
      <c r="O490">
        <v>489</v>
      </c>
      <c r="P490">
        <v>0</v>
      </c>
      <c r="Q490" t="s">
        <v>25</v>
      </c>
      <c r="R490">
        <f ca="1">DATEDIF(EMP_RAW_Data[[#This Row],[Hire Date]],IF(EMP_RAW_Data[[#This Row],[Exit Date]]="",TODAY(),EMP_RAW_Data[[#This Row],[Exit Date]]),"Y")</f>
        <v>21</v>
      </c>
      <c r="S490" t="str">
        <f>IF(EMP_RAW_Data[[#This Row],[Status]]=1,"Inactive","Active")</f>
        <v>Active</v>
      </c>
    </row>
    <row r="491" spans="1:19" hidden="1" x14ac:dyDescent="0.3">
      <c r="A491" s="1" t="s">
        <v>574</v>
      </c>
      <c r="B491" s="1" t="s">
        <v>68</v>
      </c>
      <c r="C491" s="1" t="s">
        <v>69</v>
      </c>
      <c r="D491" s="1" t="s">
        <v>20</v>
      </c>
      <c r="E491" s="1" t="s">
        <v>29</v>
      </c>
      <c r="F491">
        <v>39</v>
      </c>
      <c r="G491" t="s">
        <v>59</v>
      </c>
      <c r="H491" s="2">
        <v>43804</v>
      </c>
      <c r="I491">
        <v>254057</v>
      </c>
      <c r="J491">
        <v>0.39</v>
      </c>
      <c r="K491">
        <v>353139.23</v>
      </c>
      <c r="L491" s="1" t="s">
        <v>30</v>
      </c>
      <c r="M491" s="1" t="s">
        <v>65</v>
      </c>
      <c r="N491" s="2"/>
      <c r="O491">
        <v>490</v>
      </c>
      <c r="P491">
        <v>0</v>
      </c>
      <c r="Q491" t="s">
        <v>25</v>
      </c>
      <c r="R491">
        <f ca="1">DATEDIF(EMP_RAW_Data[[#This Row],[Hire Date]],IF(EMP_RAW_Data[[#This Row],[Exit Date]]="",TODAY(),EMP_RAW_Data[[#This Row],[Exit Date]]),"Y")</f>
        <v>6</v>
      </c>
      <c r="S491" t="str">
        <f>IF(EMP_RAW_Data[[#This Row],[Status]]=1,"Inactive","Active")</f>
        <v>Active</v>
      </c>
    </row>
    <row r="492" spans="1:19" hidden="1" x14ac:dyDescent="0.3">
      <c r="A492" s="1" t="s">
        <v>575</v>
      </c>
      <c r="B492" s="1" t="s">
        <v>130</v>
      </c>
      <c r="C492" s="1" t="s">
        <v>58</v>
      </c>
      <c r="D492" s="1" t="s">
        <v>28</v>
      </c>
      <c r="E492" s="1" t="s">
        <v>21</v>
      </c>
      <c r="F492">
        <v>58</v>
      </c>
      <c r="G492" t="s">
        <v>22</v>
      </c>
      <c r="H492" s="2">
        <v>40463</v>
      </c>
      <c r="I492">
        <v>43001</v>
      </c>
      <c r="J492">
        <v>0</v>
      </c>
      <c r="K492">
        <v>43001</v>
      </c>
      <c r="L492" s="1" t="s">
        <v>23</v>
      </c>
      <c r="M492" s="1" t="s">
        <v>55</v>
      </c>
      <c r="N492" s="2"/>
      <c r="O492">
        <v>491</v>
      </c>
      <c r="P492">
        <v>0</v>
      </c>
      <c r="Q492" t="s">
        <v>25</v>
      </c>
      <c r="R492">
        <f ca="1">DATEDIF(EMP_RAW_Data[[#This Row],[Hire Date]],IF(EMP_RAW_Data[[#This Row],[Exit Date]]="",TODAY(),EMP_RAW_Data[[#This Row],[Exit Date]]),"Y")</f>
        <v>15</v>
      </c>
      <c r="S492" t="str">
        <f>IF(EMP_RAW_Data[[#This Row],[Status]]=1,"Inactive","Active")</f>
        <v>Active</v>
      </c>
    </row>
    <row r="493" spans="1:19" hidden="1" x14ac:dyDescent="0.3">
      <c r="A493" s="1" t="s">
        <v>576</v>
      </c>
      <c r="B493" s="1" t="s">
        <v>39</v>
      </c>
      <c r="C493" s="1" t="s">
        <v>19</v>
      </c>
      <c r="D493" s="1" t="s">
        <v>28</v>
      </c>
      <c r="E493" s="1" t="s">
        <v>29</v>
      </c>
      <c r="F493">
        <v>60</v>
      </c>
      <c r="G493" t="s">
        <v>22</v>
      </c>
      <c r="H493" s="2">
        <v>36010</v>
      </c>
      <c r="I493">
        <v>85120</v>
      </c>
      <c r="J493">
        <v>0.09</v>
      </c>
      <c r="K493">
        <v>92780.800000000003</v>
      </c>
      <c r="L493" s="1" t="s">
        <v>23</v>
      </c>
      <c r="M493" s="1" t="s">
        <v>24</v>
      </c>
      <c r="N493" s="2"/>
      <c r="O493">
        <v>492</v>
      </c>
      <c r="P493">
        <v>0</v>
      </c>
      <c r="Q493" t="s">
        <v>25</v>
      </c>
      <c r="R493">
        <f ca="1">DATEDIF(EMP_RAW_Data[[#This Row],[Hire Date]],IF(EMP_RAW_Data[[#This Row],[Exit Date]]="",TODAY(),EMP_RAW_Data[[#This Row],[Exit Date]]),"Y")</f>
        <v>27</v>
      </c>
      <c r="S493" t="str">
        <f>IF(EMP_RAW_Data[[#This Row],[Status]]=1,"Inactive","Active")</f>
        <v>Active</v>
      </c>
    </row>
    <row r="494" spans="1:19" hidden="1" x14ac:dyDescent="0.3">
      <c r="A494" s="1" t="s">
        <v>577</v>
      </c>
      <c r="B494" s="1" t="s">
        <v>130</v>
      </c>
      <c r="C494" s="1" t="s">
        <v>58</v>
      </c>
      <c r="D494" s="1" t="s">
        <v>28</v>
      </c>
      <c r="E494" s="1" t="s">
        <v>29</v>
      </c>
      <c r="F494">
        <v>34</v>
      </c>
      <c r="G494" t="s">
        <v>40</v>
      </c>
      <c r="H494" s="2">
        <v>42219</v>
      </c>
      <c r="I494">
        <v>52200</v>
      </c>
      <c r="J494">
        <v>0</v>
      </c>
      <c r="K494">
        <v>52200</v>
      </c>
      <c r="L494" s="1" t="s">
        <v>23</v>
      </c>
      <c r="M494" s="1" t="s">
        <v>74</v>
      </c>
      <c r="N494" s="2"/>
      <c r="O494">
        <v>493</v>
      </c>
      <c r="P494">
        <v>0</v>
      </c>
      <c r="Q494" t="s">
        <v>25</v>
      </c>
      <c r="R494">
        <f ca="1">DATEDIF(EMP_RAW_Data[[#This Row],[Hire Date]],IF(EMP_RAW_Data[[#This Row],[Exit Date]]="",TODAY(),EMP_RAW_Data[[#This Row],[Exit Date]]),"Y")</f>
        <v>10</v>
      </c>
      <c r="S494" t="str">
        <f>IF(EMP_RAW_Data[[#This Row],[Status]]=1,"Inactive","Active")</f>
        <v>Active</v>
      </c>
    </row>
    <row r="495" spans="1:19" hidden="1" x14ac:dyDescent="0.3">
      <c r="A495" s="1" t="s">
        <v>578</v>
      </c>
      <c r="B495" s="1" t="s">
        <v>18</v>
      </c>
      <c r="C495" s="1" t="s">
        <v>58</v>
      </c>
      <c r="D495" s="1" t="s">
        <v>47</v>
      </c>
      <c r="E495" s="1" t="s">
        <v>21</v>
      </c>
      <c r="F495">
        <v>60</v>
      </c>
      <c r="G495" t="s">
        <v>22</v>
      </c>
      <c r="H495" s="2">
        <v>39739</v>
      </c>
      <c r="I495">
        <v>150855</v>
      </c>
      <c r="J495">
        <v>0.11</v>
      </c>
      <c r="K495">
        <v>167449.04999999999</v>
      </c>
      <c r="L495" s="1" t="s">
        <v>23</v>
      </c>
      <c r="M495" s="1" t="s">
        <v>43</v>
      </c>
      <c r="N495" s="2"/>
      <c r="O495">
        <v>494</v>
      </c>
      <c r="P495">
        <v>0</v>
      </c>
      <c r="Q495" t="s">
        <v>25</v>
      </c>
      <c r="R495">
        <f ca="1">DATEDIF(EMP_RAW_Data[[#This Row],[Hire Date]],IF(EMP_RAW_Data[[#This Row],[Exit Date]]="",TODAY(),EMP_RAW_Data[[#This Row],[Exit Date]]),"Y")</f>
        <v>17</v>
      </c>
      <c r="S495" t="str">
        <f>IF(EMP_RAW_Data[[#This Row],[Status]]=1,"Inactive","Active")</f>
        <v>Active</v>
      </c>
    </row>
    <row r="496" spans="1:19" hidden="1" x14ac:dyDescent="0.3">
      <c r="A496" s="1" t="s">
        <v>579</v>
      </c>
      <c r="B496" s="1" t="s">
        <v>100</v>
      </c>
      <c r="C496" s="1" t="s">
        <v>19</v>
      </c>
      <c r="D496" s="1" t="s">
        <v>28</v>
      </c>
      <c r="E496" s="1" t="s">
        <v>21</v>
      </c>
      <c r="F496">
        <v>53</v>
      </c>
      <c r="G496" t="s">
        <v>36</v>
      </c>
      <c r="H496" s="2">
        <v>38188</v>
      </c>
      <c r="I496">
        <v>65702</v>
      </c>
      <c r="J496">
        <v>0</v>
      </c>
      <c r="K496">
        <v>65702</v>
      </c>
      <c r="L496" s="1" t="s">
        <v>23</v>
      </c>
      <c r="M496" s="1" t="s">
        <v>74</v>
      </c>
      <c r="N496" s="2"/>
      <c r="O496">
        <v>495</v>
      </c>
      <c r="P496">
        <v>0</v>
      </c>
      <c r="Q496" t="s">
        <v>25</v>
      </c>
      <c r="R496">
        <f ca="1">DATEDIF(EMP_RAW_Data[[#This Row],[Hire Date]],IF(EMP_RAW_Data[[#This Row],[Exit Date]]="",TODAY(),EMP_RAW_Data[[#This Row],[Exit Date]]),"Y")</f>
        <v>21</v>
      </c>
      <c r="S496" t="str">
        <f>IF(EMP_RAW_Data[[#This Row],[Status]]=1,"Inactive","Active")</f>
        <v>Active</v>
      </c>
    </row>
    <row r="497" spans="1:19" hidden="1" x14ac:dyDescent="0.3">
      <c r="A497" s="1" t="s">
        <v>580</v>
      </c>
      <c r="B497" s="1" t="s">
        <v>33</v>
      </c>
      <c r="C497" s="1" t="s">
        <v>34</v>
      </c>
      <c r="D497" s="1" t="s">
        <v>47</v>
      </c>
      <c r="E497" s="1" t="s">
        <v>29</v>
      </c>
      <c r="F497">
        <v>58</v>
      </c>
      <c r="G497" t="s">
        <v>22</v>
      </c>
      <c r="H497" s="2">
        <v>39367</v>
      </c>
      <c r="I497">
        <v>162038</v>
      </c>
      <c r="J497">
        <v>0.24</v>
      </c>
      <c r="K497">
        <v>200927.12</v>
      </c>
      <c r="L497" s="1" t="s">
        <v>30</v>
      </c>
      <c r="M497" s="1" t="s">
        <v>31</v>
      </c>
      <c r="N497" s="2"/>
      <c r="O497">
        <v>496</v>
      </c>
      <c r="P497">
        <v>0</v>
      </c>
      <c r="Q497" t="s">
        <v>25</v>
      </c>
      <c r="R497">
        <f ca="1">DATEDIF(EMP_RAW_Data[[#This Row],[Hire Date]],IF(EMP_RAW_Data[[#This Row],[Exit Date]]="",TODAY(),EMP_RAW_Data[[#This Row],[Exit Date]]),"Y")</f>
        <v>18</v>
      </c>
      <c r="S497" t="str">
        <f>IF(EMP_RAW_Data[[#This Row],[Status]]=1,"Inactive","Active")</f>
        <v>Active</v>
      </c>
    </row>
    <row r="498" spans="1:19" hidden="1" x14ac:dyDescent="0.3">
      <c r="A498" s="1" t="s">
        <v>581</v>
      </c>
      <c r="B498" s="1" t="s">
        <v>18</v>
      </c>
      <c r="C498" s="1" t="s">
        <v>69</v>
      </c>
      <c r="D498" s="1" t="s">
        <v>20</v>
      </c>
      <c r="E498" s="1" t="s">
        <v>21</v>
      </c>
      <c r="F498">
        <v>25</v>
      </c>
      <c r="G498" t="s">
        <v>40</v>
      </c>
      <c r="H498" s="2">
        <v>43930</v>
      </c>
      <c r="I498">
        <v>157057</v>
      </c>
      <c r="J498">
        <v>0.1</v>
      </c>
      <c r="K498">
        <v>172762.7</v>
      </c>
      <c r="L498" s="1" t="s">
        <v>23</v>
      </c>
      <c r="M498" s="1" t="s">
        <v>74</v>
      </c>
      <c r="N498" s="2"/>
      <c r="O498">
        <v>497</v>
      </c>
      <c r="P498">
        <v>0</v>
      </c>
      <c r="Q498" t="s">
        <v>25</v>
      </c>
      <c r="R498">
        <f ca="1">DATEDIF(EMP_RAW_Data[[#This Row],[Hire Date]],IF(EMP_RAW_Data[[#This Row],[Exit Date]]="",TODAY(),EMP_RAW_Data[[#This Row],[Exit Date]]),"Y")</f>
        <v>5</v>
      </c>
      <c r="S498" t="str">
        <f>IF(EMP_RAW_Data[[#This Row],[Status]]=1,"Inactive","Active")</f>
        <v>Active</v>
      </c>
    </row>
    <row r="499" spans="1:19" hidden="1" x14ac:dyDescent="0.3">
      <c r="A499" s="1" t="s">
        <v>582</v>
      </c>
      <c r="B499" s="1" t="s">
        <v>49</v>
      </c>
      <c r="C499" s="1" t="s">
        <v>19</v>
      </c>
      <c r="D499" s="1" t="s">
        <v>20</v>
      </c>
      <c r="E499" s="1" t="s">
        <v>29</v>
      </c>
      <c r="F499">
        <v>46</v>
      </c>
      <c r="G499" t="s">
        <v>36</v>
      </c>
      <c r="H499" s="2">
        <v>44419</v>
      </c>
      <c r="I499">
        <v>127559</v>
      </c>
      <c r="J499">
        <v>0.1</v>
      </c>
      <c r="K499">
        <v>140314.9</v>
      </c>
      <c r="L499" s="1" t="s">
        <v>23</v>
      </c>
      <c r="M499" s="1" t="s">
        <v>55</v>
      </c>
      <c r="N499" s="2"/>
      <c r="O499">
        <v>498</v>
      </c>
      <c r="P499">
        <v>0</v>
      </c>
      <c r="Q499" t="s">
        <v>25</v>
      </c>
      <c r="R499">
        <f ca="1">DATEDIF(EMP_RAW_Data[[#This Row],[Hire Date]],IF(EMP_RAW_Data[[#This Row],[Exit Date]]="",TODAY(),EMP_RAW_Data[[#This Row],[Exit Date]]),"Y")</f>
        <v>4</v>
      </c>
      <c r="S499" t="str">
        <f>IF(EMP_RAW_Data[[#This Row],[Status]]=1,"Inactive","Active")</f>
        <v>Active</v>
      </c>
    </row>
    <row r="500" spans="1:19" hidden="1" x14ac:dyDescent="0.3">
      <c r="A500" s="1" t="s">
        <v>583</v>
      </c>
      <c r="B500" s="1" t="s">
        <v>124</v>
      </c>
      <c r="C500" s="1" t="s">
        <v>62</v>
      </c>
      <c r="D500" s="1" t="s">
        <v>47</v>
      </c>
      <c r="E500" s="1" t="s">
        <v>21</v>
      </c>
      <c r="F500">
        <v>39</v>
      </c>
      <c r="G500" t="s">
        <v>59</v>
      </c>
      <c r="H500" s="2">
        <v>43536</v>
      </c>
      <c r="I500">
        <v>62644</v>
      </c>
      <c r="J500">
        <v>0</v>
      </c>
      <c r="K500">
        <v>62644</v>
      </c>
      <c r="L500" s="1" t="s">
        <v>23</v>
      </c>
      <c r="M500" s="1" t="s">
        <v>24</v>
      </c>
      <c r="N500" s="2"/>
      <c r="O500">
        <v>499</v>
      </c>
      <c r="P500">
        <v>0</v>
      </c>
      <c r="Q500" t="s">
        <v>25</v>
      </c>
      <c r="R500">
        <f ca="1">DATEDIF(EMP_RAW_Data[[#This Row],[Hire Date]],IF(EMP_RAW_Data[[#This Row],[Exit Date]]="",TODAY(),EMP_RAW_Data[[#This Row],[Exit Date]]),"Y")</f>
        <v>7</v>
      </c>
      <c r="S500" t="str">
        <f>IF(EMP_RAW_Data[[#This Row],[Status]]=1,"Inactive","Active")</f>
        <v>Active</v>
      </c>
    </row>
    <row r="501" spans="1:19" hidden="1" x14ac:dyDescent="0.3">
      <c r="A501" s="1" t="s">
        <v>584</v>
      </c>
      <c r="B501" s="1" t="s">
        <v>164</v>
      </c>
      <c r="C501" s="1" t="s">
        <v>19</v>
      </c>
      <c r="D501" s="1" t="s">
        <v>28</v>
      </c>
      <c r="E501" s="1" t="s">
        <v>29</v>
      </c>
      <c r="F501">
        <v>50</v>
      </c>
      <c r="G501" t="s">
        <v>36</v>
      </c>
      <c r="H501" s="2">
        <v>36956</v>
      </c>
      <c r="I501">
        <v>73907</v>
      </c>
      <c r="J501">
        <v>0</v>
      </c>
      <c r="K501">
        <v>73907</v>
      </c>
      <c r="L501" s="1" t="s">
        <v>30</v>
      </c>
      <c r="M501" s="1" t="s">
        <v>65</v>
      </c>
      <c r="N501" s="2"/>
      <c r="O501">
        <v>500</v>
      </c>
      <c r="P501">
        <v>0</v>
      </c>
      <c r="Q501" t="s">
        <v>25</v>
      </c>
      <c r="R501">
        <f ca="1">DATEDIF(EMP_RAW_Data[[#This Row],[Hire Date]],IF(EMP_RAW_Data[[#This Row],[Exit Date]]="",TODAY(),EMP_RAW_Data[[#This Row],[Exit Date]]),"Y")</f>
        <v>25</v>
      </c>
      <c r="S501" t="str">
        <f>IF(EMP_RAW_Data[[#This Row],[Status]]=1,"Inactive","Active")</f>
        <v>Active</v>
      </c>
    </row>
    <row r="502" spans="1:19" hidden="1" x14ac:dyDescent="0.3">
      <c r="A502" s="1" t="s">
        <v>585</v>
      </c>
      <c r="B502" s="1" t="s">
        <v>42</v>
      </c>
      <c r="C502" s="1" t="s">
        <v>54</v>
      </c>
      <c r="D502" s="1" t="s">
        <v>28</v>
      </c>
      <c r="E502" s="1" t="s">
        <v>21</v>
      </c>
      <c r="F502">
        <v>56</v>
      </c>
      <c r="G502" t="s">
        <v>22</v>
      </c>
      <c r="H502" s="2">
        <v>43169</v>
      </c>
      <c r="I502">
        <v>90040</v>
      </c>
      <c r="J502">
        <v>0</v>
      </c>
      <c r="K502">
        <v>90040</v>
      </c>
      <c r="L502" s="1" t="s">
        <v>23</v>
      </c>
      <c r="M502" s="1" t="s">
        <v>37</v>
      </c>
      <c r="N502" s="2"/>
      <c r="O502">
        <v>501</v>
      </c>
      <c r="P502">
        <v>0</v>
      </c>
      <c r="Q502" t="s">
        <v>25</v>
      </c>
      <c r="R502">
        <f ca="1">DATEDIF(EMP_RAW_Data[[#This Row],[Hire Date]],IF(EMP_RAW_Data[[#This Row],[Exit Date]]="",TODAY(),EMP_RAW_Data[[#This Row],[Exit Date]]),"Y")</f>
        <v>8</v>
      </c>
      <c r="S502" t="str">
        <f>IF(EMP_RAW_Data[[#This Row],[Status]]=1,"Inactive","Active")</f>
        <v>Active</v>
      </c>
    </row>
    <row r="503" spans="1:19" hidden="1" x14ac:dyDescent="0.3">
      <c r="A503" s="1" t="s">
        <v>586</v>
      </c>
      <c r="B503" s="1" t="s">
        <v>180</v>
      </c>
      <c r="C503" s="1" t="s">
        <v>62</v>
      </c>
      <c r="D503" s="1" t="s">
        <v>28</v>
      </c>
      <c r="E503" s="1" t="s">
        <v>21</v>
      </c>
      <c r="F503">
        <v>30</v>
      </c>
      <c r="G503" t="s">
        <v>40</v>
      </c>
      <c r="H503" s="2">
        <v>42516</v>
      </c>
      <c r="I503">
        <v>91134</v>
      </c>
      <c r="J503">
        <v>0</v>
      </c>
      <c r="K503">
        <v>91134</v>
      </c>
      <c r="L503" s="1" t="s">
        <v>77</v>
      </c>
      <c r="M503" s="1" t="s">
        <v>148</v>
      </c>
      <c r="N503" s="2"/>
      <c r="O503">
        <v>502</v>
      </c>
      <c r="P503">
        <v>0</v>
      </c>
      <c r="Q503" t="s">
        <v>25</v>
      </c>
      <c r="R503">
        <f ca="1">DATEDIF(EMP_RAW_Data[[#This Row],[Hire Date]],IF(EMP_RAW_Data[[#This Row],[Exit Date]]="",TODAY(),EMP_RAW_Data[[#This Row],[Exit Date]]),"Y")</f>
        <v>9</v>
      </c>
      <c r="S503" t="str">
        <f>IF(EMP_RAW_Data[[#This Row],[Status]]=1,"Inactive","Active")</f>
        <v>Active</v>
      </c>
    </row>
    <row r="504" spans="1:19" hidden="1" x14ac:dyDescent="0.3">
      <c r="A504" s="1" t="s">
        <v>587</v>
      </c>
      <c r="B504" s="1" t="s">
        <v>68</v>
      </c>
      <c r="C504" s="1" t="s">
        <v>58</v>
      </c>
      <c r="D504" s="1" t="s">
        <v>35</v>
      </c>
      <c r="E504" s="1" t="s">
        <v>21</v>
      </c>
      <c r="F504">
        <v>45</v>
      </c>
      <c r="G504" t="s">
        <v>36</v>
      </c>
      <c r="H504" s="2">
        <v>44461</v>
      </c>
      <c r="I504">
        <v>201396</v>
      </c>
      <c r="J504">
        <v>0.32</v>
      </c>
      <c r="K504">
        <v>265842.71999999997</v>
      </c>
      <c r="L504" s="1" t="s">
        <v>23</v>
      </c>
      <c r="M504" s="1" t="s">
        <v>52</v>
      </c>
      <c r="N504" s="2"/>
      <c r="O504">
        <v>503</v>
      </c>
      <c r="P504">
        <v>0</v>
      </c>
      <c r="Q504" t="s">
        <v>25</v>
      </c>
      <c r="R504">
        <f ca="1">DATEDIF(EMP_RAW_Data[[#This Row],[Hire Date]],IF(EMP_RAW_Data[[#This Row],[Exit Date]]="",TODAY(),EMP_RAW_Data[[#This Row],[Exit Date]]),"Y")</f>
        <v>4</v>
      </c>
      <c r="S504" t="str">
        <f>IF(EMP_RAW_Data[[#This Row],[Status]]=1,"Inactive","Active")</f>
        <v>Active</v>
      </c>
    </row>
    <row r="505" spans="1:19" hidden="1" x14ac:dyDescent="0.3">
      <c r="A505" s="1" t="s">
        <v>588</v>
      </c>
      <c r="B505" s="1" t="s">
        <v>51</v>
      </c>
      <c r="C505" s="1" t="s">
        <v>54</v>
      </c>
      <c r="D505" s="1" t="s">
        <v>47</v>
      </c>
      <c r="E505" s="1" t="s">
        <v>21</v>
      </c>
      <c r="F505">
        <v>55</v>
      </c>
      <c r="G505" t="s">
        <v>22</v>
      </c>
      <c r="H505" s="2">
        <v>40899</v>
      </c>
      <c r="I505">
        <v>54733</v>
      </c>
      <c r="J505">
        <v>0</v>
      </c>
      <c r="K505">
        <v>54733</v>
      </c>
      <c r="L505" s="1" t="s">
        <v>30</v>
      </c>
      <c r="M505" s="1" t="s">
        <v>31</v>
      </c>
      <c r="N505" s="2"/>
      <c r="O505">
        <v>504</v>
      </c>
      <c r="P505">
        <v>0</v>
      </c>
      <c r="Q505" t="s">
        <v>25</v>
      </c>
      <c r="R505">
        <f ca="1">DATEDIF(EMP_RAW_Data[[#This Row],[Hire Date]],IF(EMP_RAW_Data[[#This Row],[Exit Date]]="",TODAY(),EMP_RAW_Data[[#This Row],[Exit Date]]),"Y")</f>
        <v>14</v>
      </c>
      <c r="S505" t="str">
        <f>IF(EMP_RAW_Data[[#This Row],[Status]]=1,"Inactive","Active")</f>
        <v>Active</v>
      </c>
    </row>
    <row r="506" spans="1:19" x14ac:dyDescent="0.3">
      <c r="A506" s="1" t="s">
        <v>589</v>
      </c>
      <c r="B506" s="1" t="s">
        <v>192</v>
      </c>
      <c r="C506" s="1" t="s">
        <v>19</v>
      </c>
      <c r="D506" s="1" t="s">
        <v>47</v>
      </c>
      <c r="E506" s="1" t="s">
        <v>29</v>
      </c>
      <c r="F506">
        <v>28</v>
      </c>
      <c r="G506" t="s">
        <v>40</v>
      </c>
      <c r="H506" s="2">
        <v>43633</v>
      </c>
      <c r="I506">
        <v>65341</v>
      </c>
      <c r="J506">
        <v>0</v>
      </c>
      <c r="K506">
        <v>65341</v>
      </c>
      <c r="L506" s="1" t="s">
        <v>23</v>
      </c>
      <c r="M506" s="1" t="s">
        <v>52</v>
      </c>
      <c r="N506" s="2">
        <v>44662</v>
      </c>
      <c r="O506">
        <v>505</v>
      </c>
      <c r="P506">
        <v>1</v>
      </c>
      <c r="Q506" t="s">
        <v>25</v>
      </c>
      <c r="R506">
        <f ca="1">DATEDIF(EMP_RAW_Data[[#This Row],[Hire Date]],IF(EMP_RAW_Data[[#This Row],[Exit Date]]="",TODAY(),EMP_RAW_Data[[#This Row],[Exit Date]]),"Y")</f>
        <v>2</v>
      </c>
      <c r="S506" t="str">
        <f>IF(EMP_RAW_Data[[#This Row],[Status]]=1,"Inactive","Active")</f>
        <v>Inactive</v>
      </c>
    </row>
    <row r="507" spans="1:19" hidden="1" x14ac:dyDescent="0.3">
      <c r="A507" s="1" t="s">
        <v>590</v>
      </c>
      <c r="B507" s="1" t="s">
        <v>18</v>
      </c>
      <c r="C507" s="1" t="s">
        <v>34</v>
      </c>
      <c r="D507" s="1" t="s">
        <v>47</v>
      </c>
      <c r="E507" s="1" t="s">
        <v>21</v>
      </c>
      <c r="F507">
        <v>59</v>
      </c>
      <c r="G507" t="s">
        <v>22</v>
      </c>
      <c r="H507" s="2">
        <v>43400</v>
      </c>
      <c r="I507">
        <v>139208</v>
      </c>
      <c r="J507">
        <v>0.11</v>
      </c>
      <c r="K507">
        <v>154520.88</v>
      </c>
      <c r="L507" s="1" t="s">
        <v>23</v>
      </c>
      <c r="M507" s="1" t="s">
        <v>55</v>
      </c>
      <c r="N507" s="2"/>
      <c r="O507">
        <v>506</v>
      </c>
      <c r="P507">
        <v>0</v>
      </c>
      <c r="Q507" t="s">
        <v>25</v>
      </c>
      <c r="R507">
        <f ca="1">DATEDIF(EMP_RAW_Data[[#This Row],[Hire Date]],IF(EMP_RAW_Data[[#This Row],[Exit Date]]="",TODAY(),EMP_RAW_Data[[#This Row],[Exit Date]]),"Y")</f>
        <v>7</v>
      </c>
      <c r="S507" t="str">
        <f>IF(EMP_RAW_Data[[#This Row],[Status]]=1,"Inactive","Active")</f>
        <v>Active</v>
      </c>
    </row>
    <row r="508" spans="1:19" hidden="1" x14ac:dyDescent="0.3">
      <c r="A508" s="1" t="s">
        <v>591</v>
      </c>
      <c r="B508" s="1" t="s">
        <v>42</v>
      </c>
      <c r="C508" s="1" t="s">
        <v>46</v>
      </c>
      <c r="D508" s="1" t="s">
        <v>35</v>
      </c>
      <c r="E508" s="1" t="s">
        <v>29</v>
      </c>
      <c r="F508">
        <v>63</v>
      </c>
      <c r="G508" t="s">
        <v>22</v>
      </c>
      <c r="H508" s="2">
        <v>43171</v>
      </c>
      <c r="I508">
        <v>73200</v>
      </c>
      <c r="J508">
        <v>0</v>
      </c>
      <c r="K508">
        <v>73200</v>
      </c>
      <c r="L508" s="1" t="s">
        <v>30</v>
      </c>
      <c r="M508" s="1" t="s">
        <v>65</v>
      </c>
      <c r="N508" s="2"/>
      <c r="O508">
        <v>507</v>
      </c>
      <c r="P508">
        <v>0</v>
      </c>
      <c r="Q508" t="s">
        <v>25</v>
      </c>
      <c r="R508">
        <f ca="1">DATEDIF(EMP_RAW_Data[[#This Row],[Hire Date]],IF(EMP_RAW_Data[[#This Row],[Exit Date]]="",TODAY(),EMP_RAW_Data[[#This Row],[Exit Date]]),"Y")</f>
        <v>8</v>
      </c>
      <c r="S508" t="str">
        <f>IF(EMP_RAW_Data[[#This Row],[Status]]=1,"Inactive","Active")</f>
        <v>Active</v>
      </c>
    </row>
    <row r="509" spans="1:19" hidden="1" x14ac:dyDescent="0.3">
      <c r="A509" s="1" t="s">
        <v>592</v>
      </c>
      <c r="B509" s="1" t="s">
        <v>49</v>
      </c>
      <c r="C509" s="1" t="s">
        <v>54</v>
      </c>
      <c r="D509" s="1" t="s">
        <v>35</v>
      </c>
      <c r="E509" s="1" t="s">
        <v>21</v>
      </c>
      <c r="F509">
        <v>46</v>
      </c>
      <c r="G509" t="s">
        <v>36</v>
      </c>
      <c r="H509" s="2">
        <v>40292</v>
      </c>
      <c r="I509">
        <v>102636</v>
      </c>
      <c r="J509">
        <v>0.06</v>
      </c>
      <c r="K509">
        <v>108794.16</v>
      </c>
      <c r="L509" s="1" t="s">
        <v>23</v>
      </c>
      <c r="M509" s="1" t="s">
        <v>24</v>
      </c>
      <c r="N509" s="2"/>
      <c r="O509">
        <v>508</v>
      </c>
      <c r="P509">
        <v>0</v>
      </c>
      <c r="Q509" t="s">
        <v>25</v>
      </c>
      <c r="R509">
        <f ca="1">DATEDIF(EMP_RAW_Data[[#This Row],[Hire Date]],IF(EMP_RAW_Data[[#This Row],[Exit Date]]="",TODAY(),EMP_RAW_Data[[#This Row],[Exit Date]]),"Y")</f>
        <v>15</v>
      </c>
      <c r="S509" t="str">
        <f>IF(EMP_RAW_Data[[#This Row],[Status]]=1,"Inactive","Active")</f>
        <v>Active</v>
      </c>
    </row>
    <row r="510" spans="1:19" hidden="1" x14ac:dyDescent="0.3">
      <c r="A510" s="1" t="s">
        <v>593</v>
      </c>
      <c r="B510" s="1" t="s">
        <v>189</v>
      </c>
      <c r="C510" s="1" t="s">
        <v>46</v>
      </c>
      <c r="D510" s="1" t="s">
        <v>35</v>
      </c>
      <c r="E510" s="1" t="s">
        <v>21</v>
      </c>
      <c r="F510">
        <v>26</v>
      </c>
      <c r="G510" t="s">
        <v>40</v>
      </c>
      <c r="H510" s="2">
        <v>44236</v>
      </c>
      <c r="I510">
        <v>87427</v>
      </c>
      <c r="J510">
        <v>0</v>
      </c>
      <c r="K510">
        <v>87427</v>
      </c>
      <c r="L510" s="1" t="s">
        <v>77</v>
      </c>
      <c r="M510" s="1" t="s">
        <v>148</v>
      </c>
      <c r="N510" s="2"/>
      <c r="O510">
        <v>509</v>
      </c>
      <c r="P510">
        <v>0</v>
      </c>
      <c r="Q510" t="s">
        <v>25</v>
      </c>
      <c r="R510">
        <f ca="1">DATEDIF(EMP_RAW_Data[[#This Row],[Hire Date]],IF(EMP_RAW_Data[[#This Row],[Exit Date]]="",TODAY(),EMP_RAW_Data[[#This Row],[Exit Date]]),"Y")</f>
        <v>5</v>
      </c>
      <c r="S510" t="str">
        <f>IF(EMP_RAW_Data[[#This Row],[Status]]=1,"Inactive","Active")</f>
        <v>Active</v>
      </c>
    </row>
    <row r="511" spans="1:19" hidden="1" x14ac:dyDescent="0.3">
      <c r="A511" s="1" t="s">
        <v>594</v>
      </c>
      <c r="B511" s="1" t="s">
        <v>93</v>
      </c>
      <c r="C511" s="1" t="s">
        <v>19</v>
      </c>
      <c r="D511" s="1" t="s">
        <v>20</v>
      </c>
      <c r="E511" s="1" t="s">
        <v>29</v>
      </c>
      <c r="F511">
        <v>45</v>
      </c>
      <c r="G511" t="s">
        <v>36</v>
      </c>
      <c r="H511" s="2">
        <v>43248</v>
      </c>
      <c r="I511">
        <v>49219</v>
      </c>
      <c r="J511">
        <v>0</v>
      </c>
      <c r="K511">
        <v>49219</v>
      </c>
      <c r="L511" s="1" t="s">
        <v>23</v>
      </c>
      <c r="M511" s="1" t="s">
        <v>74</v>
      </c>
      <c r="N511" s="2"/>
      <c r="O511">
        <v>510</v>
      </c>
      <c r="P511">
        <v>0</v>
      </c>
      <c r="Q511" t="s">
        <v>25</v>
      </c>
      <c r="R511">
        <f ca="1">DATEDIF(EMP_RAW_Data[[#This Row],[Hire Date]],IF(EMP_RAW_Data[[#This Row],[Exit Date]]="",TODAY(),EMP_RAW_Data[[#This Row],[Exit Date]]),"Y")</f>
        <v>7</v>
      </c>
      <c r="S511" t="str">
        <f>IF(EMP_RAW_Data[[#This Row],[Status]]=1,"Inactive","Active")</f>
        <v>Active</v>
      </c>
    </row>
    <row r="512" spans="1:19" hidden="1" x14ac:dyDescent="0.3">
      <c r="A512" s="1" t="s">
        <v>595</v>
      </c>
      <c r="B512" s="1" t="s">
        <v>49</v>
      </c>
      <c r="C512" s="1" t="s">
        <v>34</v>
      </c>
      <c r="D512" s="1" t="s">
        <v>28</v>
      </c>
      <c r="E512" s="1" t="s">
        <v>29</v>
      </c>
      <c r="F512">
        <v>50</v>
      </c>
      <c r="G512" t="s">
        <v>36</v>
      </c>
      <c r="H512" s="2">
        <v>43239</v>
      </c>
      <c r="I512">
        <v>106437</v>
      </c>
      <c r="J512">
        <v>7.0000000000000007E-2</v>
      </c>
      <c r="K512">
        <v>113887.59</v>
      </c>
      <c r="L512" s="1" t="s">
        <v>30</v>
      </c>
      <c r="M512" s="1" t="s">
        <v>31</v>
      </c>
      <c r="N512" s="2"/>
      <c r="O512">
        <v>511</v>
      </c>
      <c r="P512">
        <v>0</v>
      </c>
      <c r="Q512" t="s">
        <v>25</v>
      </c>
      <c r="R512">
        <f ca="1">DATEDIF(EMP_RAW_Data[[#This Row],[Hire Date]],IF(EMP_RAW_Data[[#This Row],[Exit Date]]="",TODAY(),EMP_RAW_Data[[#This Row],[Exit Date]]),"Y")</f>
        <v>7</v>
      </c>
      <c r="S512" t="str">
        <f>IF(EMP_RAW_Data[[#This Row],[Status]]=1,"Inactive","Active")</f>
        <v>Active</v>
      </c>
    </row>
    <row r="513" spans="1:19" hidden="1" x14ac:dyDescent="0.3">
      <c r="A513" s="1" t="s">
        <v>596</v>
      </c>
      <c r="B513" s="1" t="s">
        <v>96</v>
      </c>
      <c r="C513" s="1" t="s">
        <v>34</v>
      </c>
      <c r="D513" s="1" t="s">
        <v>28</v>
      </c>
      <c r="E513" s="1" t="s">
        <v>29</v>
      </c>
      <c r="F513">
        <v>46</v>
      </c>
      <c r="G513" t="s">
        <v>36</v>
      </c>
      <c r="H513" s="2">
        <v>42129</v>
      </c>
      <c r="I513">
        <v>64364</v>
      </c>
      <c r="J513">
        <v>0</v>
      </c>
      <c r="K513">
        <v>64364</v>
      </c>
      <c r="L513" s="1" t="s">
        <v>77</v>
      </c>
      <c r="M513" s="1" t="s">
        <v>148</v>
      </c>
      <c r="N513" s="2"/>
      <c r="O513">
        <v>512</v>
      </c>
      <c r="P513">
        <v>0</v>
      </c>
      <c r="Q513" t="s">
        <v>25</v>
      </c>
      <c r="R513">
        <f ca="1">DATEDIF(EMP_RAW_Data[[#This Row],[Hire Date]],IF(EMP_RAW_Data[[#This Row],[Exit Date]]="",TODAY(),EMP_RAW_Data[[#This Row],[Exit Date]]),"Y")</f>
        <v>10</v>
      </c>
      <c r="S513" t="str">
        <f>IF(EMP_RAW_Data[[#This Row],[Status]]=1,"Inactive","Active")</f>
        <v>Active</v>
      </c>
    </row>
    <row r="514" spans="1:19" hidden="1" x14ac:dyDescent="0.3">
      <c r="A514" s="1" t="s">
        <v>597</v>
      </c>
      <c r="B514" s="1" t="s">
        <v>33</v>
      </c>
      <c r="C514" s="1" t="s">
        <v>58</v>
      </c>
      <c r="D514" s="1" t="s">
        <v>28</v>
      </c>
      <c r="E514" s="1" t="s">
        <v>29</v>
      </c>
      <c r="F514">
        <v>50</v>
      </c>
      <c r="G514" t="s">
        <v>36</v>
      </c>
      <c r="H514" s="2">
        <v>44486</v>
      </c>
      <c r="I514">
        <v>172180</v>
      </c>
      <c r="J514">
        <v>0.3</v>
      </c>
      <c r="K514">
        <v>223834</v>
      </c>
      <c r="L514" s="1" t="s">
        <v>23</v>
      </c>
      <c r="M514" s="1" t="s">
        <v>74</v>
      </c>
      <c r="N514" s="2"/>
      <c r="O514">
        <v>513</v>
      </c>
      <c r="P514">
        <v>0</v>
      </c>
      <c r="Q514" t="s">
        <v>25</v>
      </c>
      <c r="R514">
        <f ca="1">DATEDIF(EMP_RAW_Data[[#This Row],[Hire Date]],IF(EMP_RAW_Data[[#This Row],[Exit Date]]="",TODAY(),EMP_RAW_Data[[#This Row],[Exit Date]]),"Y")</f>
        <v>4</v>
      </c>
      <c r="S514" t="str">
        <f>IF(EMP_RAW_Data[[#This Row],[Status]]=1,"Inactive","Active")</f>
        <v>Active</v>
      </c>
    </row>
    <row r="515" spans="1:19" hidden="1" x14ac:dyDescent="0.3">
      <c r="A515" s="1" t="s">
        <v>598</v>
      </c>
      <c r="B515" s="1" t="s">
        <v>42</v>
      </c>
      <c r="C515" s="1" t="s">
        <v>46</v>
      </c>
      <c r="D515" s="1" t="s">
        <v>28</v>
      </c>
      <c r="E515" s="1" t="s">
        <v>21</v>
      </c>
      <c r="F515">
        <v>33</v>
      </c>
      <c r="G515" t="s">
        <v>40</v>
      </c>
      <c r="H515" s="2">
        <v>41043</v>
      </c>
      <c r="I515">
        <v>88343</v>
      </c>
      <c r="J515">
        <v>0</v>
      </c>
      <c r="K515">
        <v>88343</v>
      </c>
      <c r="L515" s="1" t="s">
        <v>77</v>
      </c>
      <c r="M515" s="1" t="s">
        <v>81</v>
      </c>
      <c r="N515" s="2"/>
      <c r="O515">
        <v>514</v>
      </c>
      <c r="P515">
        <v>0</v>
      </c>
      <c r="Q515" t="s">
        <v>25</v>
      </c>
      <c r="R515">
        <f ca="1">DATEDIF(EMP_RAW_Data[[#This Row],[Hire Date]],IF(EMP_RAW_Data[[#This Row],[Exit Date]]="",TODAY(),EMP_RAW_Data[[#This Row],[Exit Date]]),"Y")</f>
        <v>13</v>
      </c>
      <c r="S515" t="str">
        <f>IF(EMP_RAW_Data[[#This Row],[Status]]=1,"Inactive","Active")</f>
        <v>Active</v>
      </c>
    </row>
    <row r="516" spans="1:19" hidden="1" x14ac:dyDescent="0.3">
      <c r="A516" s="1" t="s">
        <v>599</v>
      </c>
      <c r="B516" s="1" t="s">
        <v>230</v>
      </c>
      <c r="C516" s="1" t="s">
        <v>19</v>
      </c>
      <c r="D516" s="1" t="s">
        <v>35</v>
      </c>
      <c r="E516" s="1" t="s">
        <v>29</v>
      </c>
      <c r="F516">
        <v>57</v>
      </c>
      <c r="G516" t="s">
        <v>22</v>
      </c>
      <c r="H516" s="2">
        <v>41830</v>
      </c>
      <c r="I516">
        <v>66649</v>
      </c>
      <c r="J516">
        <v>0</v>
      </c>
      <c r="K516">
        <v>66649</v>
      </c>
      <c r="L516" s="1" t="s">
        <v>77</v>
      </c>
      <c r="M516" s="1" t="s">
        <v>81</v>
      </c>
      <c r="N516" s="2"/>
      <c r="O516">
        <v>515</v>
      </c>
      <c r="P516">
        <v>0</v>
      </c>
      <c r="Q516" t="s">
        <v>25</v>
      </c>
      <c r="R516">
        <f ca="1">DATEDIF(EMP_RAW_Data[[#This Row],[Hire Date]],IF(EMP_RAW_Data[[#This Row],[Exit Date]]="",TODAY(),EMP_RAW_Data[[#This Row],[Exit Date]]),"Y")</f>
        <v>11</v>
      </c>
      <c r="S516" t="str">
        <f>IF(EMP_RAW_Data[[#This Row],[Status]]=1,"Inactive","Active")</f>
        <v>Active</v>
      </c>
    </row>
    <row r="517" spans="1:19" hidden="1" x14ac:dyDescent="0.3">
      <c r="A517" s="1" t="s">
        <v>600</v>
      </c>
      <c r="B517" s="1" t="s">
        <v>49</v>
      </c>
      <c r="C517" s="1" t="s">
        <v>34</v>
      </c>
      <c r="D517" s="1" t="s">
        <v>47</v>
      </c>
      <c r="E517" s="1" t="s">
        <v>21</v>
      </c>
      <c r="F517">
        <v>48</v>
      </c>
      <c r="G517" t="s">
        <v>36</v>
      </c>
      <c r="H517" s="2">
        <v>36272</v>
      </c>
      <c r="I517">
        <v>102847</v>
      </c>
      <c r="J517">
        <v>0.05</v>
      </c>
      <c r="K517">
        <v>107989.35</v>
      </c>
      <c r="L517" s="1" t="s">
        <v>23</v>
      </c>
      <c r="M517" s="1" t="s">
        <v>37</v>
      </c>
      <c r="N517" s="2"/>
      <c r="O517">
        <v>516</v>
      </c>
      <c r="P517">
        <v>0</v>
      </c>
      <c r="Q517" t="s">
        <v>25</v>
      </c>
      <c r="R517">
        <f ca="1">DATEDIF(EMP_RAW_Data[[#This Row],[Hire Date]],IF(EMP_RAW_Data[[#This Row],[Exit Date]]="",TODAY(),EMP_RAW_Data[[#This Row],[Exit Date]]),"Y")</f>
        <v>26</v>
      </c>
      <c r="S517" t="str">
        <f>IF(EMP_RAW_Data[[#This Row],[Status]]=1,"Inactive","Active")</f>
        <v>Active</v>
      </c>
    </row>
    <row r="518" spans="1:19" hidden="1" x14ac:dyDescent="0.3">
      <c r="A518" s="1" t="s">
        <v>601</v>
      </c>
      <c r="B518" s="1" t="s">
        <v>18</v>
      </c>
      <c r="C518" s="1" t="s">
        <v>34</v>
      </c>
      <c r="D518" s="1" t="s">
        <v>28</v>
      </c>
      <c r="E518" s="1" t="s">
        <v>29</v>
      </c>
      <c r="F518">
        <v>46</v>
      </c>
      <c r="G518" t="s">
        <v>36</v>
      </c>
      <c r="H518" s="2">
        <v>40378</v>
      </c>
      <c r="I518">
        <v>134881</v>
      </c>
      <c r="J518">
        <v>0.15</v>
      </c>
      <c r="K518">
        <v>155113.15</v>
      </c>
      <c r="L518" s="1" t="s">
        <v>77</v>
      </c>
      <c r="M518" s="1" t="s">
        <v>78</v>
      </c>
      <c r="N518" s="2"/>
      <c r="O518">
        <v>517</v>
      </c>
      <c r="P518">
        <v>0</v>
      </c>
      <c r="Q518" t="s">
        <v>25</v>
      </c>
      <c r="R518">
        <f ca="1">DATEDIF(EMP_RAW_Data[[#This Row],[Hire Date]],IF(EMP_RAW_Data[[#This Row],[Exit Date]]="",TODAY(),EMP_RAW_Data[[#This Row],[Exit Date]]),"Y")</f>
        <v>15</v>
      </c>
      <c r="S518" t="str">
        <f>IF(EMP_RAW_Data[[#This Row],[Status]]=1,"Inactive","Active")</f>
        <v>Active</v>
      </c>
    </row>
    <row r="519" spans="1:19" x14ac:dyDescent="0.3">
      <c r="A519" s="1" t="s">
        <v>602</v>
      </c>
      <c r="B519" s="1" t="s">
        <v>96</v>
      </c>
      <c r="C519" s="1" t="s">
        <v>69</v>
      </c>
      <c r="D519" s="1" t="s">
        <v>28</v>
      </c>
      <c r="E519" s="1" t="s">
        <v>29</v>
      </c>
      <c r="F519">
        <v>52</v>
      </c>
      <c r="G519" t="s">
        <v>36</v>
      </c>
      <c r="H519" s="2">
        <v>36303</v>
      </c>
      <c r="I519">
        <v>68807</v>
      </c>
      <c r="J519">
        <v>0</v>
      </c>
      <c r="K519">
        <v>68807</v>
      </c>
      <c r="L519" s="1" t="s">
        <v>30</v>
      </c>
      <c r="M519" s="1" t="s">
        <v>102</v>
      </c>
      <c r="N519" s="2">
        <v>42338</v>
      </c>
      <c r="O519">
        <v>518</v>
      </c>
      <c r="P519">
        <v>1</v>
      </c>
      <c r="Q519" t="s">
        <v>25</v>
      </c>
      <c r="R519">
        <f ca="1">DATEDIF(EMP_RAW_Data[[#This Row],[Hire Date]],IF(EMP_RAW_Data[[#This Row],[Exit Date]]="",TODAY(),EMP_RAW_Data[[#This Row],[Exit Date]]),"Y")</f>
        <v>16</v>
      </c>
      <c r="S519" t="str">
        <f>IF(EMP_RAW_Data[[#This Row],[Status]]=1,"Inactive","Active")</f>
        <v>Inactive</v>
      </c>
    </row>
    <row r="520" spans="1:19" hidden="1" x14ac:dyDescent="0.3">
      <c r="A520" s="1" t="s">
        <v>603</v>
      </c>
      <c r="B520" s="1" t="s">
        <v>68</v>
      </c>
      <c r="C520" s="1" t="s">
        <v>19</v>
      </c>
      <c r="D520" s="1" t="s">
        <v>28</v>
      </c>
      <c r="E520" s="1" t="s">
        <v>29</v>
      </c>
      <c r="F520">
        <v>56</v>
      </c>
      <c r="G520" t="s">
        <v>22</v>
      </c>
      <c r="H520" s="2">
        <v>38866</v>
      </c>
      <c r="I520">
        <v>228822</v>
      </c>
      <c r="J520">
        <v>0.36</v>
      </c>
      <c r="K520">
        <v>311197.92</v>
      </c>
      <c r="L520" s="1" t="s">
        <v>23</v>
      </c>
      <c r="M520" s="1" t="s">
        <v>52</v>
      </c>
      <c r="N520" s="2"/>
      <c r="O520">
        <v>519</v>
      </c>
      <c r="P520">
        <v>0</v>
      </c>
      <c r="Q520" t="s">
        <v>25</v>
      </c>
      <c r="R520">
        <f ca="1">DATEDIF(EMP_RAW_Data[[#This Row],[Hire Date]],IF(EMP_RAW_Data[[#This Row],[Exit Date]]="",TODAY(),EMP_RAW_Data[[#This Row],[Exit Date]]),"Y")</f>
        <v>19</v>
      </c>
      <c r="S520" t="str">
        <f>IF(EMP_RAW_Data[[#This Row],[Status]]=1,"Inactive","Active")</f>
        <v>Active</v>
      </c>
    </row>
    <row r="521" spans="1:19" hidden="1" x14ac:dyDescent="0.3">
      <c r="A521" s="1" t="s">
        <v>604</v>
      </c>
      <c r="B521" s="1" t="s">
        <v>51</v>
      </c>
      <c r="C521" s="1" t="s">
        <v>69</v>
      </c>
      <c r="D521" s="1" t="s">
        <v>28</v>
      </c>
      <c r="E521" s="1" t="s">
        <v>29</v>
      </c>
      <c r="F521">
        <v>28</v>
      </c>
      <c r="G521" t="s">
        <v>40</v>
      </c>
      <c r="H521" s="2">
        <v>44395</v>
      </c>
      <c r="I521">
        <v>43391</v>
      </c>
      <c r="J521">
        <v>0</v>
      </c>
      <c r="K521">
        <v>43391</v>
      </c>
      <c r="L521" s="1" t="s">
        <v>23</v>
      </c>
      <c r="M521" s="1" t="s">
        <v>74</v>
      </c>
      <c r="N521" s="2"/>
      <c r="O521">
        <v>520</v>
      </c>
      <c r="P521">
        <v>0</v>
      </c>
      <c r="Q521" t="s">
        <v>25</v>
      </c>
      <c r="R521">
        <f ca="1">DATEDIF(EMP_RAW_Data[[#This Row],[Hire Date]],IF(EMP_RAW_Data[[#This Row],[Exit Date]]="",TODAY(),EMP_RAW_Data[[#This Row],[Exit Date]]),"Y")</f>
        <v>4</v>
      </c>
      <c r="S521" t="str">
        <f>IF(EMP_RAW_Data[[#This Row],[Status]]=1,"Inactive","Active")</f>
        <v>Active</v>
      </c>
    </row>
    <row r="522" spans="1:19" hidden="1" x14ac:dyDescent="0.3">
      <c r="A522" s="1" t="s">
        <v>605</v>
      </c>
      <c r="B522" s="1" t="s">
        <v>86</v>
      </c>
      <c r="C522" s="1" t="s">
        <v>62</v>
      </c>
      <c r="D522" s="1" t="s">
        <v>35</v>
      </c>
      <c r="E522" s="1" t="s">
        <v>29</v>
      </c>
      <c r="F522">
        <v>29</v>
      </c>
      <c r="G522" t="s">
        <v>40</v>
      </c>
      <c r="H522" s="2">
        <v>44515</v>
      </c>
      <c r="I522">
        <v>91782</v>
      </c>
      <c r="J522">
        <v>0</v>
      </c>
      <c r="K522">
        <v>91782</v>
      </c>
      <c r="L522" s="1" t="s">
        <v>30</v>
      </c>
      <c r="M522" s="1" t="s">
        <v>31</v>
      </c>
      <c r="N522" s="2"/>
      <c r="O522">
        <v>521</v>
      </c>
      <c r="P522">
        <v>0</v>
      </c>
      <c r="Q522" t="s">
        <v>25</v>
      </c>
      <c r="R522">
        <f ca="1">DATEDIF(EMP_RAW_Data[[#This Row],[Hire Date]],IF(EMP_RAW_Data[[#This Row],[Exit Date]]="",TODAY(),EMP_RAW_Data[[#This Row],[Exit Date]]),"Y")</f>
        <v>4</v>
      </c>
      <c r="S522" t="str">
        <f>IF(EMP_RAW_Data[[#This Row],[Status]]=1,"Inactive","Active")</f>
        <v>Active</v>
      </c>
    </row>
    <row r="523" spans="1:19" hidden="1" x14ac:dyDescent="0.3">
      <c r="A523" s="1" t="s">
        <v>606</v>
      </c>
      <c r="B523" s="1" t="s">
        <v>68</v>
      </c>
      <c r="C523" s="1" t="s">
        <v>69</v>
      </c>
      <c r="D523" s="1" t="s">
        <v>47</v>
      </c>
      <c r="E523" s="1" t="s">
        <v>21</v>
      </c>
      <c r="F523">
        <v>45</v>
      </c>
      <c r="G523" t="s">
        <v>36</v>
      </c>
      <c r="H523" s="2">
        <v>42428</v>
      </c>
      <c r="I523">
        <v>211637</v>
      </c>
      <c r="J523">
        <v>0.31</v>
      </c>
      <c r="K523">
        <v>277244.46999999997</v>
      </c>
      <c r="L523" s="1" t="s">
        <v>23</v>
      </c>
      <c r="M523" s="1" t="s">
        <v>37</v>
      </c>
      <c r="N523" s="2"/>
      <c r="O523">
        <v>522</v>
      </c>
      <c r="P523">
        <v>0</v>
      </c>
      <c r="Q523" t="s">
        <v>25</v>
      </c>
      <c r="R523">
        <f ca="1">DATEDIF(EMP_RAW_Data[[#This Row],[Hire Date]],IF(EMP_RAW_Data[[#This Row],[Exit Date]]="",TODAY(),EMP_RAW_Data[[#This Row],[Exit Date]]),"Y")</f>
        <v>10</v>
      </c>
      <c r="S523" t="str">
        <f>IF(EMP_RAW_Data[[#This Row],[Status]]=1,"Inactive","Active")</f>
        <v>Active</v>
      </c>
    </row>
    <row r="524" spans="1:19" hidden="1" x14ac:dyDescent="0.3">
      <c r="A524" s="1" t="s">
        <v>607</v>
      </c>
      <c r="B524" s="1" t="s">
        <v>39</v>
      </c>
      <c r="C524" s="1" t="s">
        <v>19</v>
      </c>
      <c r="D524" s="1" t="s">
        <v>28</v>
      </c>
      <c r="E524" s="1" t="s">
        <v>29</v>
      </c>
      <c r="F524">
        <v>28</v>
      </c>
      <c r="G524" t="s">
        <v>40</v>
      </c>
      <c r="H524" s="2">
        <v>44051</v>
      </c>
      <c r="I524">
        <v>73255</v>
      </c>
      <c r="J524">
        <v>0.09</v>
      </c>
      <c r="K524">
        <v>79847.95</v>
      </c>
      <c r="L524" s="1" t="s">
        <v>23</v>
      </c>
      <c r="M524" s="1" t="s">
        <v>43</v>
      </c>
      <c r="N524" s="2"/>
      <c r="O524">
        <v>523</v>
      </c>
      <c r="P524">
        <v>0</v>
      </c>
      <c r="Q524" t="s">
        <v>25</v>
      </c>
      <c r="R524">
        <f ca="1">DATEDIF(EMP_RAW_Data[[#This Row],[Hire Date]],IF(EMP_RAW_Data[[#This Row],[Exit Date]]="",TODAY(),EMP_RAW_Data[[#This Row],[Exit Date]]),"Y")</f>
        <v>5</v>
      </c>
      <c r="S524" t="str">
        <f>IF(EMP_RAW_Data[[#This Row],[Status]]=1,"Inactive","Active")</f>
        <v>Active</v>
      </c>
    </row>
    <row r="525" spans="1:19" hidden="1" x14ac:dyDescent="0.3">
      <c r="A525" s="1" t="s">
        <v>608</v>
      </c>
      <c r="B525" s="1" t="s">
        <v>49</v>
      </c>
      <c r="C525" s="1" t="s">
        <v>46</v>
      </c>
      <c r="D525" s="1" t="s">
        <v>47</v>
      </c>
      <c r="E525" s="1" t="s">
        <v>29</v>
      </c>
      <c r="F525">
        <v>28</v>
      </c>
      <c r="G525" t="s">
        <v>40</v>
      </c>
      <c r="H525" s="2">
        <v>44204</v>
      </c>
      <c r="I525">
        <v>108826</v>
      </c>
      <c r="J525">
        <v>0.1</v>
      </c>
      <c r="K525">
        <v>119708.6</v>
      </c>
      <c r="L525" s="1" t="s">
        <v>23</v>
      </c>
      <c r="M525" s="1" t="s">
        <v>52</v>
      </c>
      <c r="N525" s="2"/>
      <c r="O525">
        <v>524</v>
      </c>
      <c r="P525">
        <v>0</v>
      </c>
      <c r="Q525" t="s">
        <v>25</v>
      </c>
      <c r="R525">
        <f ca="1">DATEDIF(EMP_RAW_Data[[#This Row],[Hire Date]],IF(EMP_RAW_Data[[#This Row],[Exit Date]]="",TODAY(),EMP_RAW_Data[[#This Row],[Exit Date]]),"Y")</f>
        <v>5</v>
      </c>
      <c r="S525" t="str">
        <f>IF(EMP_RAW_Data[[#This Row],[Status]]=1,"Inactive","Active")</f>
        <v>Active</v>
      </c>
    </row>
    <row r="526" spans="1:19" hidden="1" x14ac:dyDescent="0.3">
      <c r="A526" s="1" t="s">
        <v>609</v>
      </c>
      <c r="B526" s="1" t="s">
        <v>230</v>
      </c>
      <c r="C526" s="1" t="s">
        <v>19</v>
      </c>
      <c r="D526" s="1" t="s">
        <v>35</v>
      </c>
      <c r="E526" s="1" t="s">
        <v>29</v>
      </c>
      <c r="F526">
        <v>34</v>
      </c>
      <c r="G526" t="s">
        <v>40</v>
      </c>
      <c r="H526" s="2">
        <v>42514</v>
      </c>
      <c r="I526">
        <v>94352</v>
      </c>
      <c r="J526">
        <v>0</v>
      </c>
      <c r="K526">
        <v>94352</v>
      </c>
      <c r="L526" s="1" t="s">
        <v>23</v>
      </c>
      <c r="M526" s="1" t="s">
        <v>52</v>
      </c>
      <c r="N526" s="2"/>
      <c r="O526">
        <v>525</v>
      </c>
      <c r="P526">
        <v>0</v>
      </c>
      <c r="Q526" t="s">
        <v>25</v>
      </c>
      <c r="R526">
        <f ca="1">DATEDIF(EMP_RAW_Data[[#This Row],[Hire Date]],IF(EMP_RAW_Data[[#This Row],[Exit Date]]="",TODAY(),EMP_RAW_Data[[#This Row],[Exit Date]]),"Y")</f>
        <v>9</v>
      </c>
      <c r="S526" t="str">
        <f>IF(EMP_RAW_Data[[#This Row],[Status]]=1,"Inactive","Active")</f>
        <v>Active</v>
      </c>
    </row>
    <row r="527" spans="1:19" hidden="1" x14ac:dyDescent="0.3">
      <c r="A527" s="1" t="s">
        <v>610</v>
      </c>
      <c r="B527" s="1" t="s">
        <v>267</v>
      </c>
      <c r="C527" s="1" t="s">
        <v>19</v>
      </c>
      <c r="D527" s="1" t="s">
        <v>20</v>
      </c>
      <c r="E527" s="1" t="s">
        <v>21</v>
      </c>
      <c r="F527">
        <v>55</v>
      </c>
      <c r="G527" t="s">
        <v>22</v>
      </c>
      <c r="H527" s="2">
        <v>34576</v>
      </c>
      <c r="I527">
        <v>73955</v>
      </c>
      <c r="J527">
        <v>0</v>
      </c>
      <c r="K527">
        <v>73955</v>
      </c>
      <c r="L527" s="1" t="s">
        <v>23</v>
      </c>
      <c r="M527" s="1" t="s">
        <v>43</v>
      </c>
      <c r="N527" s="2"/>
      <c r="O527">
        <v>526</v>
      </c>
      <c r="P527">
        <v>0</v>
      </c>
      <c r="Q527" t="s">
        <v>25</v>
      </c>
      <c r="R527">
        <f ca="1">DATEDIF(EMP_RAW_Data[[#This Row],[Hire Date]],IF(EMP_RAW_Data[[#This Row],[Exit Date]]="",TODAY(),EMP_RAW_Data[[#This Row],[Exit Date]]),"Y")</f>
        <v>31</v>
      </c>
      <c r="S527" t="str">
        <f>IF(EMP_RAW_Data[[#This Row],[Status]]=1,"Inactive","Active")</f>
        <v>Active</v>
      </c>
    </row>
    <row r="528" spans="1:19" hidden="1" x14ac:dyDescent="0.3">
      <c r="A528" s="1" t="s">
        <v>611</v>
      </c>
      <c r="B528" s="1" t="s">
        <v>49</v>
      </c>
      <c r="C528" s="1" t="s">
        <v>58</v>
      </c>
      <c r="D528" s="1" t="s">
        <v>28</v>
      </c>
      <c r="E528" s="1" t="s">
        <v>29</v>
      </c>
      <c r="F528">
        <v>34</v>
      </c>
      <c r="G528" t="s">
        <v>40</v>
      </c>
      <c r="H528" s="2">
        <v>41499</v>
      </c>
      <c r="I528">
        <v>113909</v>
      </c>
      <c r="J528">
        <v>0.06</v>
      </c>
      <c r="K528">
        <v>120743.54</v>
      </c>
      <c r="L528" s="1" t="s">
        <v>77</v>
      </c>
      <c r="M528" s="1" t="s">
        <v>81</v>
      </c>
      <c r="N528" s="2"/>
      <c r="O528">
        <v>527</v>
      </c>
      <c r="P528">
        <v>0</v>
      </c>
      <c r="Q528" t="s">
        <v>25</v>
      </c>
      <c r="R528">
        <f ca="1">DATEDIF(EMP_RAW_Data[[#This Row],[Hire Date]],IF(EMP_RAW_Data[[#This Row],[Exit Date]]="",TODAY(),EMP_RAW_Data[[#This Row],[Exit Date]]),"Y")</f>
        <v>12</v>
      </c>
      <c r="S528" t="str">
        <f>IF(EMP_RAW_Data[[#This Row],[Status]]=1,"Inactive","Active")</f>
        <v>Active</v>
      </c>
    </row>
    <row r="529" spans="1:19" hidden="1" x14ac:dyDescent="0.3">
      <c r="A529" s="1" t="s">
        <v>612</v>
      </c>
      <c r="B529" s="1" t="s">
        <v>290</v>
      </c>
      <c r="C529" s="1" t="s">
        <v>19</v>
      </c>
      <c r="D529" s="1" t="s">
        <v>28</v>
      </c>
      <c r="E529" s="1" t="s">
        <v>29</v>
      </c>
      <c r="F529">
        <v>27</v>
      </c>
      <c r="G529" t="s">
        <v>40</v>
      </c>
      <c r="H529" s="2">
        <v>44189</v>
      </c>
      <c r="I529">
        <v>92321</v>
      </c>
      <c r="J529">
        <v>0</v>
      </c>
      <c r="K529">
        <v>92321</v>
      </c>
      <c r="L529" s="1" t="s">
        <v>23</v>
      </c>
      <c r="M529" s="1" t="s">
        <v>37</v>
      </c>
      <c r="N529" s="2"/>
      <c r="O529">
        <v>528</v>
      </c>
      <c r="P529">
        <v>0</v>
      </c>
      <c r="Q529" t="s">
        <v>25</v>
      </c>
      <c r="R529">
        <f ca="1">DATEDIF(EMP_RAW_Data[[#This Row],[Hire Date]],IF(EMP_RAW_Data[[#This Row],[Exit Date]]="",TODAY(),EMP_RAW_Data[[#This Row],[Exit Date]]),"Y")</f>
        <v>5</v>
      </c>
      <c r="S529" t="str">
        <f>IF(EMP_RAW_Data[[#This Row],[Status]]=1,"Inactive","Active")</f>
        <v>Active</v>
      </c>
    </row>
    <row r="530" spans="1:19" hidden="1" x14ac:dyDescent="0.3">
      <c r="A530" s="1" t="s">
        <v>613</v>
      </c>
      <c r="B530" s="1" t="s">
        <v>39</v>
      </c>
      <c r="C530" s="1" t="s">
        <v>19</v>
      </c>
      <c r="D530" s="1" t="s">
        <v>20</v>
      </c>
      <c r="E530" s="1" t="s">
        <v>29</v>
      </c>
      <c r="F530">
        <v>52</v>
      </c>
      <c r="G530" t="s">
        <v>36</v>
      </c>
      <c r="H530" s="2">
        <v>41417</v>
      </c>
      <c r="I530">
        <v>99557</v>
      </c>
      <c r="J530">
        <v>0.09</v>
      </c>
      <c r="K530">
        <v>108517.13</v>
      </c>
      <c r="L530" s="1" t="s">
        <v>23</v>
      </c>
      <c r="M530" s="1" t="s">
        <v>24</v>
      </c>
      <c r="N530" s="2"/>
      <c r="O530">
        <v>529</v>
      </c>
      <c r="P530">
        <v>0</v>
      </c>
      <c r="Q530" t="s">
        <v>25</v>
      </c>
      <c r="R530">
        <f ca="1">DATEDIF(EMP_RAW_Data[[#This Row],[Hire Date]],IF(EMP_RAW_Data[[#This Row],[Exit Date]]="",TODAY(),EMP_RAW_Data[[#This Row],[Exit Date]]),"Y")</f>
        <v>12</v>
      </c>
      <c r="S530" t="str">
        <f>IF(EMP_RAW_Data[[#This Row],[Status]]=1,"Inactive","Active")</f>
        <v>Active</v>
      </c>
    </row>
    <row r="531" spans="1:19" hidden="1" x14ac:dyDescent="0.3">
      <c r="A531" s="1" t="s">
        <v>614</v>
      </c>
      <c r="B531" s="1" t="s">
        <v>126</v>
      </c>
      <c r="C531" s="1" t="s">
        <v>62</v>
      </c>
      <c r="D531" s="1" t="s">
        <v>35</v>
      </c>
      <c r="E531" s="1" t="s">
        <v>21</v>
      </c>
      <c r="F531">
        <v>28</v>
      </c>
      <c r="G531" t="s">
        <v>40</v>
      </c>
      <c r="H531" s="2">
        <v>43418</v>
      </c>
      <c r="I531">
        <v>115854</v>
      </c>
      <c r="J531">
        <v>0</v>
      </c>
      <c r="K531">
        <v>115854</v>
      </c>
      <c r="L531" s="1" t="s">
        <v>23</v>
      </c>
      <c r="M531" s="1" t="s">
        <v>43</v>
      </c>
      <c r="N531" s="2"/>
      <c r="O531">
        <v>530</v>
      </c>
      <c r="P531">
        <v>0</v>
      </c>
      <c r="Q531" t="s">
        <v>25</v>
      </c>
      <c r="R531">
        <f ca="1">DATEDIF(EMP_RAW_Data[[#This Row],[Hire Date]],IF(EMP_RAW_Data[[#This Row],[Exit Date]]="",TODAY(),EMP_RAW_Data[[#This Row],[Exit Date]]),"Y")</f>
        <v>7</v>
      </c>
      <c r="S531" t="str">
        <f>IF(EMP_RAW_Data[[#This Row],[Status]]=1,"Inactive","Active")</f>
        <v>Active</v>
      </c>
    </row>
    <row r="532" spans="1:19" hidden="1" x14ac:dyDescent="0.3">
      <c r="A532" s="1" t="s">
        <v>615</v>
      </c>
      <c r="B532" s="1" t="s">
        <v>267</v>
      </c>
      <c r="C532" s="1" t="s">
        <v>19</v>
      </c>
      <c r="D532" s="1" t="s">
        <v>28</v>
      </c>
      <c r="E532" s="1" t="s">
        <v>21</v>
      </c>
      <c r="F532">
        <v>44</v>
      </c>
      <c r="G532" t="s">
        <v>59</v>
      </c>
      <c r="H532" s="2">
        <v>40603</v>
      </c>
      <c r="I532">
        <v>82462</v>
      </c>
      <c r="J532">
        <v>0</v>
      </c>
      <c r="K532">
        <v>82462</v>
      </c>
      <c r="L532" s="1" t="s">
        <v>23</v>
      </c>
      <c r="M532" s="1" t="s">
        <v>55</v>
      </c>
      <c r="N532" s="2"/>
      <c r="O532">
        <v>531</v>
      </c>
      <c r="P532">
        <v>0</v>
      </c>
      <c r="Q532" t="s">
        <v>25</v>
      </c>
      <c r="R532">
        <f ca="1">DATEDIF(EMP_RAW_Data[[#This Row],[Hire Date]],IF(EMP_RAW_Data[[#This Row],[Exit Date]]="",TODAY(),EMP_RAW_Data[[#This Row],[Exit Date]]),"Y")</f>
        <v>15</v>
      </c>
      <c r="S532" t="str">
        <f>IF(EMP_RAW_Data[[#This Row],[Status]]=1,"Inactive","Active")</f>
        <v>Active</v>
      </c>
    </row>
    <row r="533" spans="1:19" hidden="1" x14ac:dyDescent="0.3">
      <c r="A533" s="1" t="s">
        <v>616</v>
      </c>
      <c r="B533" s="1" t="s">
        <v>68</v>
      </c>
      <c r="C533" s="1" t="s">
        <v>19</v>
      </c>
      <c r="D533" s="1" t="s">
        <v>20</v>
      </c>
      <c r="E533" s="1" t="s">
        <v>21</v>
      </c>
      <c r="F533">
        <v>53</v>
      </c>
      <c r="G533" t="s">
        <v>36</v>
      </c>
      <c r="H533" s="2">
        <v>40856</v>
      </c>
      <c r="I533">
        <v>198473</v>
      </c>
      <c r="J533">
        <v>0.32</v>
      </c>
      <c r="K533">
        <v>261984.36</v>
      </c>
      <c r="L533" s="1" t="s">
        <v>23</v>
      </c>
      <c r="M533" s="1" t="s">
        <v>52</v>
      </c>
      <c r="N533" s="2"/>
      <c r="O533">
        <v>532</v>
      </c>
      <c r="P533">
        <v>0</v>
      </c>
      <c r="Q533" t="s">
        <v>25</v>
      </c>
      <c r="R533">
        <f ca="1">DATEDIF(EMP_RAW_Data[[#This Row],[Hire Date]],IF(EMP_RAW_Data[[#This Row],[Exit Date]]="",TODAY(),EMP_RAW_Data[[#This Row],[Exit Date]]),"Y")</f>
        <v>14</v>
      </c>
      <c r="S533" t="str">
        <f>IF(EMP_RAW_Data[[#This Row],[Status]]=1,"Inactive","Active")</f>
        <v>Active</v>
      </c>
    </row>
    <row r="534" spans="1:19" hidden="1" x14ac:dyDescent="0.3">
      <c r="A534" s="1" t="s">
        <v>617</v>
      </c>
      <c r="B534" s="1" t="s">
        <v>18</v>
      </c>
      <c r="C534" s="1" t="s">
        <v>34</v>
      </c>
      <c r="D534" s="1" t="s">
        <v>47</v>
      </c>
      <c r="E534" s="1" t="s">
        <v>21</v>
      </c>
      <c r="F534">
        <v>43</v>
      </c>
      <c r="G534" t="s">
        <v>59</v>
      </c>
      <c r="H534" s="2">
        <v>39005</v>
      </c>
      <c r="I534">
        <v>153492</v>
      </c>
      <c r="J534">
        <v>0.11</v>
      </c>
      <c r="K534">
        <v>170376.12</v>
      </c>
      <c r="L534" s="1" t="s">
        <v>23</v>
      </c>
      <c r="M534" s="1" t="s">
        <v>37</v>
      </c>
      <c r="N534" s="2"/>
      <c r="O534">
        <v>533</v>
      </c>
      <c r="P534">
        <v>0</v>
      </c>
      <c r="Q534" t="s">
        <v>25</v>
      </c>
      <c r="R534">
        <f ca="1">DATEDIF(EMP_RAW_Data[[#This Row],[Hire Date]],IF(EMP_RAW_Data[[#This Row],[Exit Date]]="",TODAY(),EMP_RAW_Data[[#This Row],[Exit Date]]),"Y")</f>
        <v>19</v>
      </c>
      <c r="S534" t="str">
        <f>IF(EMP_RAW_Data[[#This Row],[Status]]=1,"Inactive","Active")</f>
        <v>Active</v>
      </c>
    </row>
    <row r="535" spans="1:19" hidden="1" x14ac:dyDescent="0.3">
      <c r="A535" s="1" t="s">
        <v>618</v>
      </c>
      <c r="B535" s="1" t="s">
        <v>68</v>
      </c>
      <c r="C535" s="1" t="s">
        <v>58</v>
      </c>
      <c r="D535" s="1" t="s">
        <v>47</v>
      </c>
      <c r="E535" s="1" t="s">
        <v>21</v>
      </c>
      <c r="F535">
        <v>28</v>
      </c>
      <c r="G535" t="s">
        <v>40</v>
      </c>
      <c r="H535" s="2">
        <v>43121</v>
      </c>
      <c r="I535">
        <v>208210</v>
      </c>
      <c r="J535">
        <v>0.3</v>
      </c>
      <c r="K535">
        <v>270673</v>
      </c>
      <c r="L535" s="1" t="s">
        <v>23</v>
      </c>
      <c r="M535" s="1" t="s">
        <v>24</v>
      </c>
      <c r="N535" s="2"/>
      <c r="O535">
        <v>534</v>
      </c>
      <c r="P535">
        <v>0</v>
      </c>
      <c r="Q535" t="s">
        <v>25</v>
      </c>
      <c r="R535">
        <f ca="1">DATEDIF(EMP_RAW_Data[[#This Row],[Hire Date]],IF(EMP_RAW_Data[[#This Row],[Exit Date]]="",TODAY(),EMP_RAW_Data[[#This Row],[Exit Date]]),"Y")</f>
        <v>8</v>
      </c>
      <c r="S535" t="str">
        <f>IF(EMP_RAW_Data[[#This Row],[Status]]=1,"Inactive","Active")</f>
        <v>Active</v>
      </c>
    </row>
    <row r="536" spans="1:19" hidden="1" x14ac:dyDescent="0.3">
      <c r="A536" s="1" t="s">
        <v>619</v>
      </c>
      <c r="B536" s="1" t="s">
        <v>42</v>
      </c>
      <c r="C536" s="1" t="s">
        <v>69</v>
      </c>
      <c r="D536" s="1" t="s">
        <v>47</v>
      </c>
      <c r="E536" s="1" t="s">
        <v>29</v>
      </c>
      <c r="F536">
        <v>33</v>
      </c>
      <c r="G536" t="s">
        <v>40</v>
      </c>
      <c r="H536" s="2">
        <v>42325</v>
      </c>
      <c r="I536">
        <v>91632</v>
      </c>
      <c r="J536">
        <v>0</v>
      </c>
      <c r="K536">
        <v>91632</v>
      </c>
      <c r="L536" s="1" t="s">
        <v>23</v>
      </c>
      <c r="M536" s="1" t="s">
        <v>43</v>
      </c>
      <c r="N536" s="2"/>
      <c r="O536">
        <v>535</v>
      </c>
      <c r="P536">
        <v>0</v>
      </c>
      <c r="Q536" t="s">
        <v>25</v>
      </c>
      <c r="R536">
        <f ca="1">DATEDIF(EMP_RAW_Data[[#This Row],[Hire Date]],IF(EMP_RAW_Data[[#This Row],[Exit Date]]="",TODAY(),EMP_RAW_Data[[#This Row],[Exit Date]]),"Y")</f>
        <v>10</v>
      </c>
      <c r="S536" t="str">
        <f>IF(EMP_RAW_Data[[#This Row],[Status]]=1,"Inactive","Active")</f>
        <v>Active</v>
      </c>
    </row>
    <row r="537" spans="1:19" hidden="1" x14ac:dyDescent="0.3">
      <c r="A537" s="1" t="s">
        <v>620</v>
      </c>
      <c r="B537" s="1" t="s">
        <v>118</v>
      </c>
      <c r="C537" s="1" t="s">
        <v>58</v>
      </c>
      <c r="D537" s="1" t="s">
        <v>47</v>
      </c>
      <c r="E537" s="1" t="s">
        <v>29</v>
      </c>
      <c r="F537">
        <v>31</v>
      </c>
      <c r="G537" t="s">
        <v>40</v>
      </c>
      <c r="H537" s="2">
        <v>43002</v>
      </c>
      <c r="I537">
        <v>71755</v>
      </c>
      <c r="J537">
        <v>0</v>
      </c>
      <c r="K537">
        <v>71755</v>
      </c>
      <c r="L537" s="1" t="s">
        <v>30</v>
      </c>
      <c r="M537" s="1" t="s">
        <v>31</v>
      </c>
      <c r="N537" s="2"/>
      <c r="O537">
        <v>536</v>
      </c>
      <c r="P537">
        <v>0</v>
      </c>
      <c r="Q537" t="s">
        <v>25</v>
      </c>
      <c r="R537">
        <f ca="1">DATEDIF(EMP_RAW_Data[[#This Row],[Hire Date]],IF(EMP_RAW_Data[[#This Row],[Exit Date]]="",TODAY(),EMP_RAW_Data[[#This Row],[Exit Date]]),"Y")</f>
        <v>8</v>
      </c>
      <c r="S537" t="str">
        <f>IF(EMP_RAW_Data[[#This Row],[Status]]=1,"Inactive","Active")</f>
        <v>Active</v>
      </c>
    </row>
    <row r="538" spans="1:19" hidden="1" x14ac:dyDescent="0.3">
      <c r="A538" s="1" t="s">
        <v>621</v>
      </c>
      <c r="B538" s="1" t="s">
        <v>49</v>
      </c>
      <c r="C538" s="1" t="s">
        <v>54</v>
      </c>
      <c r="D538" s="1" t="s">
        <v>47</v>
      </c>
      <c r="E538" s="1" t="s">
        <v>21</v>
      </c>
      <c r="F538">
        <v>52</v>
      </c>
      <c r="G538" t="s">
        <v>36</v>
      </c>
      <c r="H538" s="2">
        <v>44519</v>
      </c>
      <c r="I538">
        <v>111006</v>
      </c>
      <c r="J538">
        <v>0.08</v>
      </c>
      <c r="K538">
        <v>119886.48</v>
      </c>
      <c r="L538" s="1" t="s">
        <v>30</v>
      </c>
      <c r="M538" s="1" t="s">
        <v>31</v>
      </c>
      <c r="N538" s="2"/>
      <c r="O538">
        <v>537</v>
      </c>
      <c r="P538">
        <v>0</v>
      </c>
      <c r="Q538" t="s">
        <v>25</v>
      </c>
      <c r="R538">
        <f ca="1">DATEDIF(EMP_RAW_Data[[#This Row],[Hire Date]],IF(EMP_RAW_Data[[#This Row],[Exit Date]]="",TODAY(),EMP_RAW_Data[[#This Row],[Exit Date]]),"Y")</f>
        <v>4</v>
      </c>
      <c r="S538" t="str">
        <f>IF(EMP_RAW_Data[[#This Row],[Status]]=1,"Inactive","Active")</f>
        <v>Active</v>
      </c>
    </row>
    <row r="539" spans="1:19" hidden="1" x14ac:dyDescent="0.3">
      <c r="A539" s="1" t="s">
        <v>622</v>
      </c>
      <c r="B539" s="1" t="s">
        <v>142</v>
      </c>
      <c r="C539" s="1" t="s">
        <v>19</v>
      </c>
      <c r="D539" s="1" t="s">
        <v>47</v>
      </c>
      <c r="E539" s="1" t="s">
        <v>29</v>
      </c>
      <c r="F539">
        <v>55</v>
      </c>
      <c r="G539" t="s">
        <v>22</v>
      </c>
      <c r="H539" s="2">
        <v>34692</v>
      </c>
      <c r="I539">
        <v>99774</v>
      </c>
      <c r="J539">
        <v>0</v>
      </c>
      <c r="K539">
        <v>99774</v>
      </c>
      <c r="L539" s="1" t="s">
        <v>23</v>
      </c>
      <c r="M539" s="1" t="s">
        <v>55</v>
      </c>
      <c r="N539" s="2"/>
      <c r="O539">
        <v>538</v>
      </c>
      <c r="P539">
        <v>0</v>
      </c>
      <c r="Q539" t="s">
        <v>25</v>
      </c>
      <c r="R539">
        <f ca="1">DATEDIF(EMP_RAW_Data[[#This Row],[Hire Date]],IF(EMP_RAW_Data[[#This Row],[Exit Date]]="",TODAY(),EMP_RAW_Data[[#This Row],[Exit Date]]),"Y")</f>
        <v>31</v>
      </c>
      <c r="S539" t="str">
        <f>IF(EMP_RAW_Data[[#This Row],[Status]]=1,"Inactive","Active")</f>
        <v>Active</v>
      </c>
    </row>
    <row r="540" spans="1:19" hidden="1" x14ac:dyDescent="0.3">
      <c r="A540" s="1" t="s">
        <v>623</v>
      </c>
      <c r="B540" s="1" t="s">
        <v>33</v>
      </c>
      <c r="C540" s="1" t="s">
        <v>19</v>
      </c>
      <c r="D540" s="1" t="s">
        <v>20</v>
      </c>
      <c r="E540" s="1" t="s">
        <v>29</v>
      </c>
      <c r="F540">
        <v>55</v>
      </c>
      <c r="G540" t="s">
        <v>22</v>
      </c>
      <c r="H540" s="2">
        <v>39154</v>
      </c>
      <c r="I540">
        <v>184648</v>
      </c>
      <c r="J540">
        <v>0.24</v>
      </c>
      <c r="K540">
        <v>228963.52</v>
      </c>
      <c r="L540" s="1" t="s">
        <v>30</v>
      </c>
      <c r="M540" s="1" t="s">
        <v>65</v>
      </c>
      <c r="N540" s="2"/>
      <c r="O540">
        <v>539</v>
      </c>
      <c r="P540">
        <v>0</v>
      </c>
      <c r="Q540" t="s">
        <v>25</v>
      </c>
      <c r="R540">
        <f ca="1">DATEDIF(EMP_RAW_Data[[#This Row],[Hire Date]],IF(EMP_RAW_Data[[#This Row],[Exit Date]]="",TODAY(),EMP_RAW_Data[[#This Row],[Exit Date]]),"Y")</f>
        <v>19</v>
      </c>
      <c r="S540" t="str">
        <f>IF(EMP_RAW_Data[[#This Row],[Status]]=1,"Inactive","Active")</f>
        <v>Active</v>
      </c>
    </row>
    <row r="541" spans="1:19" hidden="1" x14ac:dyDescent="0.3">
      <c r="A541" s="1" t="s">
        <v>624</v>
      </c>
      <c r="B541" s="1" t="s">
        <v>68</v>
      </c>
      <c r="C541" s="1" t="s">
        <v>19</v>
      </c>
      <c r="D541" s="1" t="s">
        <v>28</v>
      </c>
      <c r="E541" s="1" t="s">
        <v>29</v>
      </c>
      <c r="F541">
        <v>51</v>
      </c>
      <c r="G541" t="s">
        <v>36</v>
      </c>
      <c r="H541" s="2">
        <v>37091</v>
      </c>
      <c r="I541">
        <v>247874</v>
      </c>
      <c r="J541">
        <v>0.33</v>
      </c>
      <c r="K541">
        <v>329672.42</v>
      </c>
      <c r="L541" s="1" t="s">
        <v>77</v>
      </c>
      <c r="M541" s="1" t="s">
        <v>78</v>
      </c>
      <c r="N541" s="2"/>
      <c r="O541">
        <v>540</v>
      </c>
      <c r="P541">
        <v>0</v>
      </c>
      <c r="Q541" t="s">
        <v>25</v>
      </c>
      <c r="R541">
        <f ca="1">DATEDIF(EMP_RAW_Data[[#This Row],[Hire Date]],IF(EMP_RAW_Data[[#This Row],[Exit Date]]="",TODAY(),EMP_RAW_Data[[#This Row],[Exit Date]]),"Y")</f>
        <v>24</v>
      </c>
      <c r="S541" t="str">
        <f>IF(EMP_RAW_Data[[#This Row],[Status]]=1,"Inactive","Active")</f>
        <v>Active</v>
      </c>
    </row>
    <row r="542" spans="1:19" hidden="1" x14ac:dyDescent="0.3">
      <c r="A542" s="1" t="s">
        <v>625</v>
      </c>
      <c r="B542" s="1" t="s">
        <v>180</v>
      </c>
      <c r="C542" s="1" t="s">
        <v>62</v>
      </c>
      <c r="D542" s="1" t="s">
        <v>28</v>
      </c>
      <c r="E542" s="1" t="s">
        <v>29</v>
      </c>
      <c r="F542">
        <v>60</v>
      </c>
      <c r="G542" t="s">
        <v>22</v>
      </c>
      <c r="H542" s="2">
        <v>39944</v>
      </c>
      <c r="I542">
        <v>62239</v>
      </c>
      <c r="J542">
        <v>0</v>
      </c>
      <c r="K542">
        <v>62239</v>
      </c>
      <c r="L542" s="1" t="s">
        <v>30</v>
      </c>
      <c r="M542" s="1" t="s">
        <v>90</v>
      </c>
      <c r="N542" s="2"/>
      <c r="O542">
        <v>541</v>
      </c>
      <c r="P542">
        <v>0</v>
      </c>
      <c r="Q542" t="s">
        <v>25</v>
      </c>
      <c r="R542">
        <f ca="1">DATEDIF(EMP_RAW_Data[[#This Row],[Hire Date]],IF(EMP_RAW_Data[[#This Row],[Exit Date]]="",TODAY(),EMP_RAW_Data[[#This Row],[Exit Date]]),"Y")</f>
        <v>16</v>
      </c>
      <c r="S542" t="str">
        <f>IF(EMP_RAW_Data[[#This Row],[Status]]=1,"Inactive","Active")</f>
        <v>Active</v>
      </c>
    </row>
    <row r="543" spans="1:19" hidden="1" x14ac:dyDescent="0.3">
      <c r="A543" s="1" t="s">
        <v>626</v>
      </c>
      <c r="B543" s="1" t="s">
        <v>49</v>
      </c>
      <c r="C543" s="1" t="s">
        <v>54</v>
      </c>
      <c r="D543" s="1" t="s">
        <v>35</v>
      </c>
      <c r="E543" s="1" t="s">
        <v>21</v>
      </c>
      <c r="F543">
        <v>31</v>
      </c>
      <c r="G543" t="s">
        <v>40</v>
      </c>
      <c r="H543" s="2">
        <v>41919</v>
      </c>
      <c r="I543">
        <v>114911</v>
      </c>
      <c r="J543">
        <v>7.0000000000000007E-2</v>
      </c>
      <c r="K543">
        <v>122954.77</v>
      </c>
      <c r="L543" s="1" t="s">
        <v>23</v>
      </c>
      <c r="M543" s="1" t="s">
        <v>37</v>
      </c>
      <c r="N543" s="2"/>
      <c r="O543">
        <v>542</v>
      </c>
      <c r="P543">
        <v>0</v>
      </c>
      <c r="Q543" t="s">
        <v>25</v>
      </c>
      <c r="R543">
        <f ca="1">DATEDIF(EMP_RAW_Data[[#This Row],[Hire Date]],IF(EMP_RAW_Data[[#This Row],[Exit Date]]="",TODAY(),EMP_RAW_Data[[#This Row],[Exit Date]]),"Y")</f>
        <v>11</v>
      </c>
      <c r="S543" t="str">
        <f>IF(EMP_RAW_Data[[#This Row],[Status]]=1,"Inactive","Active")</f>
        <v>Active</v>
      </c>
    </row>
    <row r="544" spans="1:19" hidden="1" x14ac:dyDescent="0.3">
      <c r="A544" s="1" t="s">
        <v>627</v>
      </c>
      <c r="B544" s="1" t="s">
        <v>89</v>
      </c>
      <c r="C544" s="1" t="s">
        <v>62</v>
      </c>
      <c r="D544" s="1" t="s">
        <v>47</v>
      </c>
      <c r="E544" s="1" t="s">
        <v>29</v>
      </c>
      <c r="F544">
        <v>45</v>
      </c>
      <c r="G544" t="s">
        <v>36</v>
      </c>
      <c r="H544" s="2">
        <v>43217</v>
      </c>
      <c r="I544">
        <v>115490</v>
      </c>
      <c r="J544">
        <v>0.12</v>
      </c>
      <c r="K544">
        <v>129348.8</v>
      </c>
      <c r="L544" s="1" t="s">
        <v>23</v>
      </c>
      <c r="M544" s="1" t="s">
        <v>37</v>
      </c>
      <c r="N544" s="2"/>
      <c r="O544">
        <v>543</v>
      </c>
      <c r="P544">
        <v>0</v>
      </c>
      <c r="Q544" t="s">
        <v>25</v>
      </c>
      <c r="R544">
        <f ca="1">DATEDIF(EMP_RAW_Data[[#This Row],[Hire Date]],IF(EMP_RAW_Data[[#This Row],[Exit Date]]="",TODAY(),EMP_RAW_Data[[#This Row],[Exit Date]]),"Y")</f>
        <v>7</v>
      </c>
      <c r="S544" t="str">
        <f>IF(EMP_RAW_Data[[#This Row],[Status]]=1,"Inactive","Active")</f>
        <v>Active</v>
      </c>
    </row>
    <row r="545" spans="1:19" hidden="1" x14ac:dyDescent="0.3">
      <c r="A545" s="1" t="s">
        <v>628</v>
      </c>
      <c r="B545" s="1" t="s">
        <v>49</v>
      </c>
      <c r="C545" s="1" t="s">
        <v>54</v>
      </c>
      <c r="D545" s="1" t="s">
        <v>35</v>
      </c>
      <c r="E545" s="1" t="s">
        <v>29</v>
      </c>
      <c r="F545">
        <v>34</v>
      </c>
      <c r="G545" t="s">
        <v>40</v>
      </c>
      <c r="H545" s="2">
        <v>40952</v>
      </c>
      <c r="I545">
        <v>118708</v>
      </c>
      <c r="J545">
        <v>7.0000000000000007E-2</v>
      </c>
      <c r="K545">
        <v>127017.56</v>
      </c>
      <c r="L545" s="1" t="s">
        <v>30</v>
      </c>
      <c r="M545" s="1" t="s">
        <v>65</v>
      </c>
      <c r="N545" s="2"/>
      <c r="O545">
        <v>544</v>
      </c>
      <c r="P545">
        <v>0</v>
      </c>
      <c r="Q545" t="s">
        <v>25</v>
      </c>
      <c r="R545">
        <f ca="1">DATEDIF(EMP_RAW_Data[[#This Row],[Hire Date]],IF(EMP_RAW_Data[[#This Row],[Exit Date]]="",TODAY(),EMP_RAW_Data[[#This Row],[Exit Date]]),"Y")</f>
        <v>14</v>
      </c>
      <c r="S545" t="str">
        <f>IF(EMP_RAW_Data[[#This Row],[Status]]=1,"Inactive","Active")</f>
        <v>Active</v>
      </c>
    </row>
    <row r="546" spans="1:19" hidden="1" x14ac:dyDescent="0.3">
      <c r="A546" s="1" t="s">
        <v>629</v>
      </c>
      <c r="B546" s="1" t="s">
        <v>33</v>
      </c>
      <c r="C546" s="1" t="s">
        <v>54</v>
      </c>
      <c r="D546" s="1" t="s">
        <v>35</v>
      </c>
      <c r="E546" s="1" t="s">
        <v>21</v>
      </c>
      <c r="F546">
        <v>29</v>
      </c>
      <c r="G546" t="s">
        <v>40</v>
      </c>
      <c r="H546" s="2">
        <v>42914</v>
      </c>
      <c r="I546">
        <v>197649</v>
      </c>
      <c r="J546">
        <v>0.2</v>
      </c>
      <c r="K546">
        <v>237178.8</v>
      </c>
      <c r="L546" s="1" t="s">
        <v>23</v>
      </c>
      <c r="M546" s="1" t="s">
        <v>74</v>
      </c>
      <c r="N546" s="2"/>
      <c r="O546">
        <v>545</v>
      </c>
      <c r="P546">
        <v>0</v>
      </c>
      <c r="Q546" t="s">
        <v>25</v>
      </c>
      <c r="R546">
        <f ca="1">DATEDIF(EMP_RAW_Data[[#This Row],[Hire Date]],IF(EMP_RAW_Data[[#This Row],[Exit Date]]="",TODAY(),EMP_RAW_Data[[#This Row],[Exit Date]]),"Y")</f>
        <v>8</v>
      </c>
      <c r="S546" t="str">
        <f>IF(EMP_RAW_Data[[#This Row],[Status]]=1,"Inactive","Active")</f>
        <v>Active</v>
      </c>
    </row>
    <row r="547" spans="1:19" hidden="1" x14ac:dyDescent="0.3">
      <c r="A547" s="1" t="s">
        <v>630</v>
      </c>
      <c r="B547" s="1" t="s">
        <v>42</v>
      </c>
      <c r="C547" s="1" t="s">
        <v>54</v>
      </c>
      <c r="D547" s="1" t="s">
        <v>35</v>
      </c>
      <c r="E547" s="1" t="s">
        <v>21</v>
      </c>
      <c r="F547">
        <v>45</v>
      </c>
      <c r="G547" t="s">
        <v>36</v>
      </c>
      <c r="H547" s="2">
        <v>43999</v>
      </c>
      <c r="I547">
        <v>89841</v>
      </c>
      <c r="J547">
        <v>0</v>
      </c>
      <c r="K547">
        <v>89841</v>
      </c>
      <c r="L547" s="1" t="s">
        <v>30</v>
      </c>
      <c r="M547" s="1" t="s">
        <v>90</v>
      </c>
      <c r="N547" s="2"/>
      <c r="O547">
        <v>546</v>
      </c>
      <c r="P547">
        <v>0</v>
      </c>
      <c r="Q547" t="s">
        <v>25</v>
      </c>
      <c r="R547">
        <f ca="1">DATEDIF(EMP_RAW_Data[[#This Row],[Hire Date]],IF(EMP_RAW_Data[[#This Row],[Exit Date]]="",TODAY(),EMP_RAW_Data[[#This Row],[Exit Date]]),"Y")</f>
        <v>5</v>
      </c>
      <c r="S547" t="str">
        <f>IF(EMP_RAW_Data[[#This Row],[Status]]=1,"Inactive","Active")</f>
        <v>Active</v>
      </c>
    </row>
    <row r="548" spans="1:19" hidden="1" x14ac:dyDescent="0.3">
      <c r="A548" s="1" t="s">
        <v>631</v>
      </c>
      <c r="B548" s="1" t="s">
        <v>96</v>
      </c>
      <c r="C548" s="1" t="s">
        <v>34</v>
      </c>
      <c r="D548" s="1" t="s">
        <v>35</v>
      </c>
      <c r="E548" s="1" t="s">
        <v>21</v>
      </c>
      <c r="F548">
        <v>52</v>
      </c>
      <c r="G548" t="s">
        <v>36</v>
      </c>
      <c r="H548" s="2">
        <v>43819</v>
      </c>
      <c r="I548">
        <v>61026</v>
      </c>
      <c r="J548">
        <v>0</v>
      </c>
      <c r="K548">
        <v>61026</v>
      </c>
      <c r="L548" s="1" t="s">
        <v>23</v>
      </c>
      <c r="M548" s="1" t="s">
        <v>43</v>
      </c>
      <c r="N548" s="2"/>
      <c r="O548">
        <v>547</v>
      </c>
      <c r="P548">
        <v>0</v>
      </c>
      <c r="Q548" t="s">
        <v>25</v>
      </c>
      <c r="R548">
        <f ca="1">DATEDIF(EMP_RAW_Data[[#This Row],[Hire Date]],IF(EMP_RAW_Data[[#This Row],[Exit Date]]="",TODAY(),EMP_RAW_Data[[#This Row],[Exit Date]]),"Y")</f>
        <v>6</v>
      </c>
      <c r="S548" t="str">
        <f>IF(EMP_RAW_Data[[#This Row],[Status]]=1,"Inactive","Active")</f>
        <v>Active</v>
      </c>
    </row>
    <row r="549" spans="1:19" hidden="1" x14ac:dyDescent="0.3">
      <c r="A549" s="1" t="s">
        <v>632</v>
      </c>
      <c r="B549" s="1" t="s">
        <v>61</v>
      </c>
      <c r="C549" s="1" t="s">
        <v>62</v>
      </c>
      <c r="D549" s="1" t="s">
        <v>35</v>
      </c>
      <c r="E549" s="1" t="s">
        <v>21</v>
      </c>
      <c r="F549">
        <v>48</v>
      </c>
      <c r="G549" t="s">
        <v>36</v>
      </c>
      <c r="H549" s="2">
        <v>41907</v>
      </c>
      <c r="I549">
        <v>96693</v>
      </c>
      <c r="J549">
        <v>0</v>
      </c>
      <c r="K549">
        <v>96693</v>
      </c>
      <c r="L549" s="1" t="s">
        <v>23</v>
      </c>
      <c r="M549" s="1" t="s">
        <v>37</v>
      </c>
      <c r="N549" s="2"/>
      <c r="O549">
        <v>548</v>
      </c>
      <c r="P549">
        <v>0</v>
      </c>
      <c r="Q549" t="s">
        <v>25</v>
      </c>
      <c r="R549">
        <f ca="1">DATEDIF(EMP_RAW_Data[[#This Row],[Hire Date]],IF(EMP_RAW_Data[[#This Row],[Exit Date]]="",TODAY(),EMP_RAW_Data[[#This Row],[Exit Date]]),"Y")</f>
        <v>11</v>
      </c>
      <c r="S549" t="str">
        <f>IF(EMP_RAW_Data[[#This Row],[Status]]=1,"Inactive","Active")</f>
        <v>Active</v>
      </c>
    </row>
    <row r="550" spans="1:19" hidden="1" x14ac:dyDescent="0.3">
      <c r="A550" s="1" t="s">
        <v>633</v>
      </c>
      <c r="B550" s="1" t="s">
        <v>151</v>
      </c>
      <c r="C550" s="1" t="s">
        <v>62</v>
      </c>
      <c r="D550" s="1" t="s">
        <v>35</v>
      </c>
      <c r="E550" s="1" t="s">
        <v>21</v>
      </c>
      <c r="F550">
        <v>48</v>
      </c>
      <c r="G550" t="s">
        <v>36</v>
      </c>
      <c r="H550" s="2">
        <v>39991</v>
      </c>
      <c r="I550">
        <v>82907</v>
      </c>
      <c r="J550">
        <v>0</v>
      </c>
      <c r="K550">
        <v>82907</v>
      </c>
      <c r="L550" s="1" t="s">
        <v>23</v>
      </c>
      <c r="M550" s="1" t="s">
        <v>24</v>
      </c>
      <c r="N550" s="2"/>
      <c r="O550">
        <v>549</v>
      </c>
      <c r="P550">
        <v>0</v>
      </c>
      <c r="Q550" t="s">
        <v>25</v>
      </c>
      <c r="R550">
        <f ca="1">DATEDIF(EMP_RAW_Data[[#This Row],[Hire Date]],IF(EMP_RAW_Data[[#This Row],[Exit Date]]="",TODAY(),EMP_RAW_Data[[#This Row],[Exit Date]]),"Y")</f>
        <v>16</v>
      </c>
      <c r="S550" t="str">
        <f>IF(EMP_RAW_Data[[#This Row],[Status]]=1,"Inactive","Active")</f>
        <v>Active</v>
      </c>
    </row>
    <row r="551" spans="1:19" hidden="1" x14ac:dyDescent="0.3">
      <c r="A551" s="1" t="s">
        <v>634</v>
      </c>
      <c r="B551" s="1" t="s">
        <v>68</v>
      </c>
      <c r="C551" s="1" t="s">
        <v>69</v>
      </c>
      <c r="D551" s="1" t="s">
        <v>47</v>
      </c>
      <c r="E551" s="1" t="s">
        <v>29</v>
      </c>
      <c r="F551">
        <v>41</v>
      </c>
      <c r="G551" t="s">
        <v>59</v>
      </c>
      <c r="H551" s="2">
        <v>41916</v>
      </c>
      <c r="I551">
        <v>257194</v>
      </c>
      <c r="J551">
        <v>0.35</v>
      </c>
      <c r="K551">
        <v>347211.9</v>
      </c>
      <c r="L551" s="1" t="s">
        <v>30</v>
      </c>
      <c r="M551" s="1" t="s">
        <v>31</v>
      </c>
      <c r="N551" s="2"/>
      <c r="O551">
        <v>550</v>
      </c>
      <c r="P551">
        <v>0</v>
      </c>
      <c r="Q551" t="s">
        <v>25</v>
      </c>
      <c r="R551">
        <f ca="1">DATEDIF(EMP_RAW_Data[[#This Row],[Hire Date]],IF(EMP_RAW_Data[[#This Row],[Exit Date]]="",TODAY(),EMP_RAW_Data[[#This Row],[Exit Date]]),"Y")</f>
        <v>11</v>
      </c>
      <c r="S551" t="str">
        <f>IF(EMP_RAW_Data[[#This Row],[Status]]=1,"Inactive","Active")</f>
        <v>Active</v>
      </c>
    </row>
    <row r="552" spans="1:19" hidden="1" x14ac:dyDescent="0.3">
      <c r="A552" s="1" t="s">
        <v>635</v>
      </c>
      <c r="B552" s="1" t="s">
        <v>86</v>
      </c>
      <c r="C552" s="1" t="s">
        <v>62</v>
      </c>
      <c r="D552" s="1" t="s">
        <v>20</v>
      </c>
      <c r="E552" s="1" t="s">
        <v>29</v>
      </c>
      <c r="F552">
        <v>41</v>
      </c>
      <c r="G552" t="s">
        <v>59</v>
      </c>
      <c r="H552" s="2">
        <v>40929</v>
      </c>
      <c r="I552">
        <v>94658</v>
      </c>
      <c r="J552">
        <v>0</v>
      </c>
      <c r="K552">
        <v>94658</v>
      </c>
      <c r="L552" s="1" t="s">
        <v>23</v>
      </c>
      <c r="M552" s="1" t="s">
        <v>52</v>
      </c>
      <c r="N552" s="2"/>
      <c r="O552">
        <v>551</v>
      </c>
      <c r="P552">
        <v>0</v>
      </c>
      <c r="Q552" t="s">
        <v>25</v>
      </c>
      <c r="R552">
        <f ca="1">DATEDIF(EMP_RAW_Data[[#This Row],[Hire Date]],IF(EMP_RAW_Data[[#This Row],[Exit Date]]="",TODAY(),EMP_RAW_Data[[#This Row],[Exit Date]]),"Y")</f>
        <v>14</v>
      </c>
      <c r="S552" t="str">
        <f>IF(EMP_RAW_Data[[#This Row],[Status]]=1,"Inactive","Active")</f>
        <v>Active</v>
      </c>
    </row>
    <row r="553" spans="1:19" hidden="1" x14ac:dyDescent="0.3">
      <c r="A553" s="1" t="s">
        <v>636</v>
      </c>
      <c r="B553" s="1" t="s">
        <v>86</v>
      </c>
      <c r="C553" s="1" t="s">
        <v>62</v>
      </c>
      <c r="D553" s="1" t="s">
        <v>20</v>
      </c>
      <c r="E553" s="1" t="s">
        <v>29</v>
      </c>
      <c r="F553">
        <v>55</v>
      </c>
      <c r="G553" t="s">
        <v>22</v>
      </c>
      <c r="H553" s="2">
        <v>40663</v>
      </c>
      <c r="I553">
        <v>89419</v>
      </c>
      <c r="J553">
        <v>0</v>
      </c>
      <c r="K553">
        <v>89419</v>
      </c>
      <c r="L553" s="1" t="s">
        <v>30</v>
      </c>
      <c r="M553" s="1" t="s">
        <v>65</v>
      </c>
      <c r="N553" s="2"/>
      <c r="O553">
        <v>552</v>
      </c>
      <c r="P553">
        <v>0</v>
      </c>
      <c r="Q553" t="s">
        <v>25</v>
      </c>
      <c r="R553">
        <f ca="1">DATEDIF(EMP_RAW_Data[[#This Row],[Hire Date]],IF(EMP_RAW_Data[[#This Row],[Exit Date]]="",TODAY(),EMP_RAW_Data[[#This Row],[Exit Date]]),"Y")</f>
        <v>14</v>
      </c>
      <c r="S553" t="str">
        <f>IF(EMP_RAW_Data[[#This Row],[Status]]=1,"Inactive","Active")</f>
        <v>Active</v>
      </c>
    </row>
    <row r="554" spans="1:19" hidden="1" x14ac:dyDescent="0.3">
      <c r="A554" s="1" t="s">
        <v>637</v>
      </c>
      <c r="B554" s="1" t="s">
        <v>118</v>
      </c>
      <c r="C554" s="1" t="s">
        <v>58</v>
      </c>
      <c r="D554" s="1" t="s">
        <v>28</v>
      </c>
      <c r="E554" s="1" t="s">
        <v>29</v>
      </c>
      <c r="F554">
        <v>45</v>
      </c>
      <c r="G554" t="s">
        <v>36</v>
      </c>
      <c r="H554" s="2">
        <v>42357</v>
      </c>
      <c r="I554">
        <v>51983</v>
      </c>
      <c r="J554">
        <v>0</v>
      </c>
      <c r="K554">
        <v>51983</v>
      </c>
      <c r="L554" s="1" t="s">
        <v>23</v>
      </c>
      <c r="M554" s="1" t="s">
        <v>74</v>
      </c>
      <c r="N554" s="2"/>
      <c r="O554">
        <v>553</v>
      </c>
      <c r="P554">
        <v>0</v>
      </c>
      <c r="Q554" t="s">
        <v>25</v>
      </c>
      <c r="R554">
        <f ca="1">DATEDIF(EMP_RAW_Data[[#This Row],[Hire Date]],IF(EMP_RAW_Data[[#This Row],[Exit Date]]="",TODAY(),EMP_RAW_Data[[#This Row],[Exit Date]]),"Y")</f>
        <v>10</v>
      </c>
      <c r="S554" t="str">
        <f>IF(EMP_RAW_Data[[#This Row],[Status]]=1,"Inactive","Active")</f>
        <v>Active</v>
      </c>
    </row>
    <row r="555" spans="1:19" hidden="1" x14ac:dyDescent="0.3">
      <c r="A555" s="1" t="s">
        <v>638</v>
      </c>
      <c r="B555" s="1" t="s">
        <v>33</v>
      </c>
      <c r="C555" s="1" t="s">
        <v>34</v>
      </c>
      <c r="D555" s="1" t="s">
        <v>47</v>
      </c>
      <c r="E555" s="1" t="s">
        <v>21</v>
      </c>
      <c r="F555">
        <v>53</v>
      </c>
      <c r="G555" t="s">
        <v>36</v>
      </c>
      <c r="H555" s="2">
        <v>37304</v>
      </c>
      <c r="I555">
        <v>179494</v>
      </c>
      <c r="J555">
        <v>0.2</v>
      </c>
      <c r="K555">
        <v>215392.8</v>
      </c>
      <c r="L555" s="1" t="s">
        <v>30</v>
      </c>
      <c r="M555" s="1" t="s">
        <v>31</v>
      </c>
      <c r="N555" s="2"/>
      <c r="O555">
        <v>554</v>
      </c>
      <c r="P555">
        <v>0</v>
      </c>
      <c r="Q555" t="s">
        <v>25</v>
      </c>
      <c r="R555">
        <f ca="1">DATEDIF(EMP_RAW_Data[[#This Row],[Hire Date]],IF(EMP_RAW_Data[[#This Row],[Exit Date]]="",TODAY(),EMP_RAW_Data[[#This Row],[Exit Date]]),"Y")</f>
        <v>24</v>
      </c>
      <c r="S555" t="str">
        <f>IF(EMP_RAW_Data[[#This Row],[Status]]=1,"Inactive","Active")</f>
        <v>Active</v>
      </c>
    </row>
    <row r="556" spans="1:19" hidden="1" x14ac:dyDescent="0.3">
      <c r="A556" s="1" t="s">
        <v>639</v>
      </c>
      <c r="B556" s="1" t="s">
        <v>267</v>
      </c>
      <c r="C556" s="1" t="s">
        <v>19</v>
      </c>
      <c r="D556" s="1" t="s">
        <v>47</v>
      </c>
      <c r="E556" s="1" t="s">
        <v>29</v>
      </c>
      <c r="F556">
        <v>49</v>
      </c>
      <c r="G556" t="s">
        <v>36</v>
      </c>
      <c r="H556" s="2">
        <v>42545</v>
      </c>
      <c r="I556">
        <v>68426</v>
      </c>
      <c r="J556">
        <v>0</v>
      </c>
      <c r="K556">
        <v>68426</v>
      </c>
      <c r="L556" s="1" t="s">
        <v>77</v>
      </c>
      <c r="M556" s="1" t="s">
        <v>81</v>
      </c>
      <c r="N556" s="2"/>
      <c r="O556">
        <v>555</v>
      </c>
      <c r="P556">
        <v>0</v>
      </c>
      <c r="Q556" t="s">
        <v>25</v>
      </c>
      <c r="R556">
        <f ca="1">DATEDIF(EMP_RAW_Data[[#This Row],[Hire Date]],IF(EMP_RAW_Data[[#This Row],[Exit Date]]="",TODAY(),EMP_RAW_Data[[#This Row],[Exit Date]]),"Y")</f>
        <v>9</v>
      </c>
      <c r="S556" t="str">
        <f>IF(EMP_RAW_Data[[#This Row],[Status]]=1,"Inactive","Active")</f>
        <v>Active</v>
      </c>
    </row>
    <row r="557" spans="1:19" hidden="1" x14ac:dyDescent="0.3">
      <c r="A557" s="1" t="s">
        <v>640</v>
      </c>
      <c r="B557" s="1" t="s">
        <v>18</v>
      </c>
      <c r="C557" s="1" t="s">
        <v>34</v>
      </c>
      <c r="D557" s="1" t="s">
        <v>47</v>
      </c>
      <c r="E557" s="1" t="s">
        <v>21</v>
      </c>
      <c r="F557">
        <v>55</v>
      </c>
      <c r="G557" t="s">
        <v>22</v>
      </c>
      <c r="H557" s="2">
        <v>42772</v>
      </c>
      <c r="I557">
        <v>144986</v>
      </c>
      <c r="J557">
        <v>0.12</v>
      </c>
      <c r="K557">
        <v>162384.32000000001</v>
      </c>
      <c r="L557" s="1" t="s">
        <v>23</v>
      </c>
      <c r="M557" s="1" t="s">
        <v>43</v>
      </c>
      <c r="N557" s="2"/>
      <c r="O557">
        <v>556</v>
      </c>
      <c r="P557">
        <v>0</v>
      </c>
      <c r="Q557" t="s">
        <v>25</v>
      </c>
      <c r="R557">
        <f ca="1">DATEDIF(EMP_RAW_Data[[#This Row],[Hire Date]],IF(EMP_RAW_Data[[#This Row],[Exit Date]]="",TODAY(),EMP_RAW_Data[[#This Row],[Exit Date]]),"Y")</f>
        <v>9</v>
      </c>
      <c r="S557" t="str">
        <f>IF(EMP_RAW_Data[[#This Row],[Status]]=1,"Inactive","Active")</f>
        <v>Active</v>
      </c>
    </row>
    <row r="558" spans="1:19" hidden="1" x14ac:dyDescent="0.3">
      <c r="A558" s="1" t="s">
        <v>641</v>
      </c>
      <c r="B558" s="1" t="s">
        <v>45</v>
      </c>
      <c r="C558" s="1" t="s">
        <v>46</v>
      </c>
      <c r="D558" s="1" t="s">
        <v>35</v>
      </c>
      <c r="E558" s="1" t="s">
        <v>21</v>
      </c>
      <c r="F558">
        <v>45</v>
      </c>
      <c r="G558" t="s">
        <v>36</v>
      </c>
      <c r="H558" s="2">
        <v>36754</v>
      </c>
      <c r="I558">
        <v>60113</v>
      </c>
      <c r="J558">
        <v>0</v>
      </c>
      <c r="K558">
        <v>60113</v>
      </c>
      <c r="L558" s="1" t="s">
        <v>23</v>
      </c>
      <c r="M558" s="1" t="s">
        <v>37</v>
      </c>
      <c r="N558" s="2"/>
      <c r="O558">
        <v>557</v>
      </c>
      <c r="P558">
        <v>0</v>
      </c>
      <c r="Q558" t="s">
        <v>25</v>
      </c>
      <c r="R558">
        <f ca="1">DATEDIF(EMP_RAW_Data[[#This Row],[Hire Date]],IF(EMP_RAW_Data[[#This Row],[Exit Date]]="",TODAY(),EMP_RAW_Data[[#This Row],[Exit Date]]),"Y")</f>
        <v>25</v>
      </c>
      <c r="S558" t="str">
        <f>IF(EMP_RAW_Data[[#This Row],[Status]]=1,"Inactive","Active")</f>
        <v>Active</v>
      </c>
    </row>
    <row r="559" spans="1:19" hidden="1" x14ac:dyDescent="0.3">
      <c r="A559" s="1" t="s">
        <v>642</v>
      </c>
      <c r="B559" s="1" t="s">
        <v>118</v>
      </c>
      <c r="C559" s="1" t="s">
        <v>58</v>
      </c>
      <c r="D559" s="1" t="s">
        <v>20</v>
      </c>
      <c r="E559" s="1" t="s">
        <v>21</v>
      </c>
      <c r="F559">
        <v>52</v>
      </c>
      <c r="G559" t="s">
        <v>36</v>
      </c>
      <c r="H559" s="2">
        <v>44304</v>
      </c>
      <c r="I559">
        <v>50548</v>
      </c>
      <c r="J559">
        <v>0</v>
      </c>
      <c r="K559">
        <v>50548</v>
      </c>
      <c r="L559" s="1" t="s">
        <v>77</v>
      </c>
      <c r="M559" s="1" t="s">
        <v>148</v>
      </c>
      <c r="N559" s="2"/>
      <c r="O559">
        <v>558</v>
      </c>
      <c r="P559">
        <v>0</v>
      </c>
      <c r="Q559" t="s">
        <v>25</v>
      </c>
      <c r="R559">
        <f ca="1">DATEDIF(EMP_RAW_Data[[#This Row],[Hire Date]],IF(EMP_RAW_Data[[#This Row],[Exit Date]]="",TODAY(),EMP_RAW_Data[[#This Row],[Exit Date]]),"Y")</f>
        <v>4</v>
      </c>
      <c r="S559" t="str">
        <f>IF(EMP_RAW_Data[[#This Row],[Status]]=1,"Inactive","Active")</f>
        <v>Active</v>
      </c>
    </row>
    <row r="560" spans="1:19" hidden="1" x14ac:dyDescent="0.3">
      <c r="A560" s="1" t="s">
        <v>643</v>
      </c>
      <c r="B560" s="1" t="s">
        <v>96</v>
      </c>
      <c r="C560" s="1" t="s">
        <v>69</v>
      </c>
      <c r="D560" s="1" t="s">
        <v>28</v>
      </c>
      <c r="E560" s="1" t="s">
        <v>21</v>
      </c>
      <c r="F560">
        <v>33</v>
      </c>
      <c r="G560" t="s">
        <v>40</v>
      </c>
      <c r="H560" s="2">
        <v>43904</v>
      </c>
      <c r="I560">
        <v>68846</v>
      </c>
      <c r="J560">
        <v>0</v>
      </c>
      <c r="K560">
        <v>68846</v>
      </c>
      <c r="L560" s="1" t="s">
        <v>23</v>
      </c>
      <c r="M560" s="1" t="s">
        <v>37</v>
      </c>
      <c r="N560" s="2"/>
      <c r="O560">
        <v>559</v>
      </c>
      <c r="P560">
        <v>0</v>
      </c>
      <c r="Q560" t="s">
        <v>25</v>
      </c>
      <c r="R560">
        <f ca="1">DATEDIF(EMP_RAW_Data[[#This Row],[Hire Date]],IF(EMP_RAW_Data[[#This Row],[Exit Date]]="",TODAY(),EMP_RAW_Data[[#This Row],[Exit Date]]),"Y")</f>
        <v>6</v>
      </c>
      <c r="S560" t="str">
        <f>IF(EMP_RAW_Data[[#This Row],[Status]]=1,"Inactive","Active")</f>
        <v>Active</v>
      </c>
    </row>
    <row r="561" spans="1:19" hidden="1" x14ac:dyDescent="0.3">
      <c r="A561" s="1" t="s">
        <v>644</v>
      </c>
      <c r="B561" s="1" t="s">
        <v>230</v>
      </c>
      <c r="C561" s="1" t="s">
        <v>19</v>
      </c>
      <c r="D561" s="1" t="s">
        <v>47</v>
      </c>
      <c r="E561" s="1" t="s">
        <v>21</v>
      </c>
      <c r="F561">
        <v>59</v>
      </c>
      <c r="G561" t="s">
        <v>22</v>
      </c>
      <c r="H561" s="2">
        <v>41717</v>
      </c>
      <c r="I561">
        <v>90901</v>
      </c>
      <c r="J561">
        <v>0</v>
      </c>
      <c r="K561">
        <v>90901</v>
      </c>
      <c r="L561" s="1" t="s">
        <v>23</v>
      </c>
      <c r="M561" s="1" t="s">
        <v>24</v>
      </c>
      <c r="N561" s="2"/>
      <c r="O561">
        <v>560</v>
      </c>
      <c r="P561">
        <v>0</v>
      </c>
      <c r="Q561" t="s">
        <v>25</v>
      </c>
      <c r="R561">
        <f ca="1">DATEDIF(EMP_RAW_Data[[#This Row],[Hire Date]],IF(EMP_RAW_Data[[#This Row],[Exit Date]]="",TODAY(),EMP_RAW_Data[[#This Row],[Exit Date]]),"Y")</f>
        <v>11</v>
      </c>
      <c r="S561" t="str">
        <f>IF(EMP_RAW_Data[[#This Row],[Status]]=1,"Inactive","Active")</f>
        <v>Active</v>
      </c>
    </row>
    <row r="562" spans="1:19" hidden="1" x14ac:dyDescent="0.3">
      <c r="A562" s="1" t="s">
        <v>645</v>
      </c>
      <c r="B562" s="1" t="s">
        <v>49</v>
      </c>
      <c r="C562" s="1" t="s">
        <v>54</v>
      </c>
      <c r="D562" s="1" t="s">
        <v>47</v>
      </c>
      <c r="E562" s="1" t="s">
        <v>21</v>
      </c>
      <c r="F562">
        <v>50</v>
      </c>
      <c r="G562" t="s">
        <v>36</v>
      </c>
      <c r="H562" s="2">
        <v>41155</v>
      </c>
      <c r="I562">
        <v>102033</v>
      </c>
      <c r="J562">
        <v>0.08</v>
      </c>
      <c r="K562">
        <v>110195.64</v>
      </c>
      <c r="L562" s="1" t="s">
        <v>23</v>
      </c>
      <c r="M562" s="1" t="s">
        <v>55</v>
      </c>
      <c r="N562" s="2"/>
      <c r="O562">
        <v>561</v>
      </c>
      <c r="P562">
        <v>0</v>
      </c>
      <c r="Q562" t="s">
        <v>25</v>
      </c>
      <c r="R562">
        <f ca="1">DATEDIF(EMP_RAW_Data[[#This Row],[Hire Date]],IF(EMP_RAW_Data[[#This Row],[Exit Date]]="",TODAY(),EMP_RAW_Data[[#This Row],[Exit Date]]),"Y")</f>
        <v>13</v>
      </c>
      <c r="S562" t="str">
        <f>IF(EMP_RAW_Data[[#This Row],[Status]]=1,"Inactive","Active")</f>
        <v>Active</v>
      </c>
    </row>
    <row r="563" spans="1:19" hidden="1" x14ac:dyDescent="0.3">
      <c r="A563" s="1" t="s">
        <v>646</v>
      </c>
      <c r="B563" s="1" t="s">
        <v>33</v>
      </c>
      <c r="C563" s="1" t="s">
        <v>46</v>
      </c>
      <c r="D563" s="1" t="s">
        <v>28</v>
      </c>
      <c r="E563" s="1" t="s">
        <v>21</v>
      </c>
      <c r="F563">
        <v>61</v>
      </c>
      <c r="G563" t="s">
        <v>22</v>
      </c>
      <c r="H563" s="2">
        <v>44219</v>
      </c>
      <c r="I563">
        <v>151783</v>
      </c>
      <c r="J563">
        <v>0.26</v>
      </c>
      <c r="K563">
        <v>191246.58000000002</v>
      </c>
      <c r="L563" s="1" t="s">
        <v>23</v>
      </c>
      <c r="M563" s="1" t="s">
        <v>24</v>
      </c>
      <c r="N563" s="2"/>
      <c r="O563">
        <v>562</v>
      </c>
      <c r="P563">
        <v>0</v>
      </c>
      <c r="Q563" t="s">
        <v>25</v>
      </c>
      <c r="R563">
        <f ca="1">DATEDIF(EMP_RAW_Data[[#This Row],[Hire Date]],IF(EMP_RAW_Data[[#This Row],[Exit Date]]="",TODAY(),EMP_RAW_Data[[#This Row],[Exit Date]]),"Y")</f>
        <v>5</v>
      </c>
      <c r="S563" t="str">
        <f>IF(EMP_RAW_Data[[#This Row],[Status]]=1,"Inactive","Active")</f>
        <v>Active</v>
      </c>
    </row>
    <row r="564" spans="1:19" hidden="1" x14ac:dyDescent="0.3">
      <c r="A564" s="1" t="s">
        <v>647</v>
      </c>
      <c r="B564" s="1" t="s">
        <v>33</v>
      </c>
      <c r="C564" s="1" t="s">
        <v>62</v>
      </c>
      <c r="D564" s="1" t="s">
        <v>47</v>
      </c>
      <c r="E564" s="1" t="s">
        <v>21</v>
      </c>
      <c r="F564">
        <v>27</v>
      </c>
      <c r="G564" t="s">
        <v>40</v>
      </c>
      <c r="H564" s="2">
        <v>43441</v>
      </c>
      <c r="I564">
        <v>170164</v>
      </c>
      <c r="J564">
        <v>0.17</v>
      </c>
      <c r="K564">
        <v>199091.88</v>
      </c>
      <c r="L564" s="1" t="s">
        <v>23</v>
      </c>
      <c r="M564" s="1" t="s">
        <v>55</v>
      </c>
      <c r="N564" s="2"/>
      <c r="O564">
        <v>563</v>
      </c>
      <c r="P564">
        <v>0</v>
      </c>
      <c r="Q564" t="s">
        <v>25</v>
      </c>
      <c r="R564">
        <f ca="1">DATEDIF(EMP_RAW_Data[[#This Row],[Hire Date]],IF(EMP_RAW_Data[[#This Row],[Exit Date]]="",TODAY(),EMP_RAW_Data[[#This Row],[Exit Date]]),"Y")</f>
        <v>7</v>
      </c>
      <c r="S564" t="str">
        <f>IF(EMP_RAW_Data[[#This Row],[Status]]=1,"Inactive","Active")</f>
        <v>Active</v>
      </c>
    </row>
    <row r="565" spans="1:19" hidden="1" x14ac:dyDescent="0.3">
      <c r="A565" s="1" t="s">
        <v>648</v>
      </c>
      <c r="B565" s="1" t="s">
        <v>18</v>
      </c>
      <c r="C565" s="1" t="s">
        <v>69</v>
      </c>
      <c r="D565" s="1" t="s">
        <v>35</v>
      </c>
      <c r="E565" s="1" t="s">
        <v>21</v>
      </c>
      <c r="F565">
        <v>35</v>
      </c>
      <c r="G565" t="s">
        <v>59</v>
      </c>
      <c r="H565" s="2">
        <v>41690</v>
      </c>
      <c r="I565">
        <v>155905</v>
      </c>
      <c r="J565">
        <v>0.14000000000000001</v>
      </c>
      <c r="K565">
        <v>177731.7</v>
      </c>
      <c r="L565" s="1" t="s">
        <v>23</v>
      </c>
      <c r="M565" s="1" t="s">
        <v>43</v>
      </c>
      <c r="N565" s="2"/>
      <c r="O565">
        <v>564</v>
      </c>
      <c r="P565">
        <v>0</v>
      </c>
      <c r="Q565" t="s">
        <v>25</v>
      </c>
      <c r="R565">
        <f ca="1">DATEDIF(EMP_RAW_Data[[#This Row],[Hire Date]],IF(EMP_RAW_Data[[#This Row],[Exit Date]]="",TODAY(),EMP_RAW_Data[[#This Row],[Exit Date]]),"Y")</f>
        <v>12</v>
      </c>
      <c r="S565" t="str">
        <f>IF(EMP_RAW_Data[[#This Row],[Status]]=1,"Inactive","Active")</f>
        <v>Active</v>
      </c>
    </row>
    <row r="566" spans="1:19" hidden="1" x14ac:dyDescent="0.3">
      <c r="A566" s="1" t="s">
        <v>649</v>
      </c>
      <c r="B566" s="1" t="s">
        <v>51</v>
      </c>
      <c r="C566" s="1" t="s">
        <v>46</v>
      </c>
      <c r="D566" s="1" t="s">
        <v>47</v>
      </c>
      <c r="E566" s="1" t="s">
        <v>29</v>
      </c>
      <c r="F566">
        <v>40</v>
      </c>
      <c r="G566" t="s">
        <v>59</v>
      </c>
      <c r="H566" s="2">
        <v>42721</v>
      </c>
      <c r="I566">
        <v>50733</v>
      </c>
      <c r="J566">
        <v>0</v>
      </c>
      <c r="K566">
        <v>50733</v>
      </c>
      <c r="L566" s="1" t="s">
        <v>23</v>
      </c>
      <c r="M566" s="1" t="s">
        <v>52</v>
      </c>
      <c r="N566" s="2"/>
      <c r="O566">
        <v>565</v>
      </c>
      <c r="P566">
        <v>0</v>
      </c>
      <c r="Q566" t="s">
        <v>25</v>
      </c>
      <c r="R566">
        <f ca="1">DATEDIF(EMP_RAW_Data[[#This Row],[Hire Date]],IF(EMP_RAW_Data[[#This Row],[Exit Date]]="",TODAY(),EMP_RAW_Data[[#This Row],[Exit Date]]),"Y")</f>
        <v>9</v>
      </c>
      <c r="S566" t="str">
        <f>IF(EMP_RAW_Data[[#This Row],[Status]]=1,"Inactive","Active")</f>
        <v>Active</v>
      </c>
    </row>
    <row r="567" spans="1:19" hidden="1" x14ac:dyDescent="0.3">
      <c r="A567" s="1" t="s">
        <v>650</v>
      </c>
      <c r="B567" s="1" t="s">
        <v>107</v>
      </c>
      <c r="C567" s="1" t="s">
        <v>58</v>
      </c>
      <c r="D567" s="1" t="s">
        <v>47</v>
      </c>
      <c r="E567" s="1" t="s">
        <v>21</v>
      </c>
      <c r="F567">
        <v>30</v>
      </c>
      <c r="G567" t="s">
        <v>40</v>
      </c>
      <c r="H567" s="2">
        <v>42761</v>
      </c>
      <c r="I567">
        <v>88663</v>
      </c>
      <c r="J567">
        <v>0</v>
      </c>
      <c r="K567">
        <v>88663</v>
      </c>
      <c r="L567" s="1" t="s">
        <v>23</v>
      </c>
      <c r="M567" s="1" t="s">
        <v>43</v>
      </c>
      <c r="N567" s="2"/>
      <c r="O567">
        <v>566</v>
      </c>
      <c r="P567">
        <v>0</v>
      </c>
      <c r="Q567" t="s">
        <v>25</v>
      </c>
      <c r="R567">
        <f ca="1">DATEDIF(EMP_RAW_Data[[#This Row],[Hire Date]],IF(EMP_RAW_Data[[#This Row],[Exit Date]]="",TODAY(),EMP_RAW_Data[[#This Row],[Exit Date]]),"Y")</f>
        <v>9</v>
      </c>
      <c r="S567" t="str">
        <f>IF(EMP_RAW_Data[[#This Row],[Status]]=1,"Inactive","Active")</f>
        <v>Active</v>
      </c>
    </row>
    <row r="568" spans="1:19" hidden="1" x14ac:dyDescent="0.3">
      <c r="A568" s="1" t="s">
        <v>651</v>
      </c>
      <c r="B568" s="1" t="s">
        <v>124</v>
      </c>
      <c r="C568" s="1" t="s">
        <v>62</v>
      </c>
      <c r="D568" s="1" t="s">
        <v>28</v>
      </c>
      <c r="E568" s="1" t="s">
        <v>29</v>
      </c>
      <c r="F568">
        <v>60</v>
      </c>
      <c r="G568" t="s">
        <v>22</v>
      </c>
      <c r="H568" s="2">
        <v>33890</v>
      </c>
      <c r="I568">
        <v>88213</v>
      </c>
      <c r="J568">
        <v>0</v>
      </c>
      <c r="K568">
        <v>88213</v>
      </c>
      <c r="L568" s="1" t="s">
        <v>30</v>
      </c>
      <c r="M568" s="1" t="s">
        <v>31</v>
      </c>
      <c r="N568" s="2"/>
      <c r="O568">
        <v>567</v>
      </c>
      <c r="P568">
        <v>0</v>
      </c>
      <c r="Q568" t="s">
        <v>25</v>
      </c>
      <c r="R568">
        <f ca="1">DATEDIF(EMP_RAW_Data[[#This Row],[Hire Date]],IF(EMP_RAW_Data[[#This Row],[Exit Date]]="",TODAY(),EMP_RAW_Data[[#This Row],[Exit Date]]),"Y")</f>
        <v>33</v>
      </c>
      <c r="S568" t="str">
        <f>IF(EMP_RAW_Data[[#This Row],[Status]]=1,"Inactive","Active")</f>
        <v>Active</v>
      </c>
    </row>
    <row r="569" spans="1:19" hidden="1" x14ac:dyDescent="0.3">
      <c r="A569" s="1" t="s">
        <v>652</v>
      </c>
      <c r="B569" s="1" t="s">
        <v>96</v>
      </c>
      <c r="C569" s="1" t="s">
        <v>46</v>
      </c>
      <c r="D569" s="1" t="s">
        <v>35</v>
      </c>
      <c r="E569" s="1" t="s">
        <v>29</v>
      </c>
      <c r="F569">
        <v>55</v>
      </c>
      <c r="G569" t="s">
        <v>22</v>
      </c>
      <c r="H569" s="2">
        <v>44410</v>
      </c>
      <c r="I569">
        <v>67130</v>
      </c>
      <c r="J569">
        <v>0</v>
      </c>
      <c r="K569">
        <v>67130</v>
      </c>
      <c r="L569" s="1" t="s">
        <v>23</v>
      </c>
      <c r="M569" s="1" t="s">
        <v>52</v>
      </c>
      <c r="N569" s="2"/>
      <c r="O569">
        <v>568</v>
      </c>
      <c r="P569">
        <v>0</v>
      </c>
      <c r="Q569" t="s">
        <v>25</v>
      </c>
      <c r="R569">
        <f ca="1">DATEDIF(EMP_RAW_Data[[#This Row],[Hire Date]],IF(EMP_RAW_Data[[#This Row],[Exit Date]]="",TODAY(),EMP_RAW_Data[[#This Row],[Exit Date]]),"Y")</f>
        <v>4</v>
      </c>
      <c r="S569" t="str">
        <f>IF(EMP_RAW_Data[[#This Row],[Status]]=1,"Inactive","Active")</f>
        <v>Active</v>
      </c>
    </row>
    <row r="570" spans="1:19" hidden="1" x14ac:dyDescent="0.3">
      <c r="A570" s="1" t="s">
        <v>653</v>
      </c>
      <c r="B570" s="1" t="s">
        <v>42</v>
      </c>
      <c r="C570" s="1" t="s">
        <v>34</v>
      </c>
      <c r="D570" s="1" t="s">
        <v>35</v>
      </c>
      <c r="E570" s="1" t="s">
        <v>21</v>
      </c>
      <c r="F570">
        <v>33</v>
      </c>
      <c r="G570" t="s">
        <v>40</v>
      </c>
      <c r="H570" s="2">
        <v>42285</v>
      </c>
      <c r="I570">
        <v>94876</v>
      </c>
      <c r="J570">
        <v>0</v>
      </c>
      <c r="K570">
        <v>94876</v>
      </c>
      <c r="L570" s="1" t="s">
        <v>23</v>
      </c>
      <c r="M570" s="1" t="s">
        <v>52</v>
      </c>
      <c r="N570" s="2"/>
      <c r="O570">
        <v>569</v>
      </c>
      <c r="P570">
        <v>0</v>
      </c>
      <c r="Q570" t="s">
        <v>25</v>
      </c>
      <c r="R570">
        <f ca="1">DATEDIF(EMP_RAW_Data[[#This Row],[Hire Date]],IF(EMP_RAW_Data[[#This Row],[Exit Date]]="",TODAY(),EMP_RAW_Data[[#This Row],[Exit Date]]),"Y")</f>
        <v>10</v>
      </c>
      <c r="S570" t="str">
        <f>IF(EMP_RAW_Data[[#This Row],[Status]]=1,"Inactive","Active")</f>
        <v>Active</v>
      </c>
    </row>
    <row r="571" spans="1:19" hidden="1" x14ac:dyDescent="0.3">
      <c r="A571" s="1" t="s">
        <v>654</v>
      </c>
      <c r="B571" s="1" t="s">
        <v>180</v>
      </c>
      <c r="C571" s="1" t="s">
        <v>62</v>
      </c>
      <c r="D571" s="1" t="s">
        <v>35</v>
      </c>
      <c r="E571" s="1" t="s">
        <v>29</v>
      </c>
      <c r="F571">
        <v>62</v>
      </c>
      <c r="G571" t="s">
        <v>22</v>
      </c>
      <c r="H571" s="2">
        <v>34616</v>
      </c>
      <c r="I571">
        <v>98230</v>
      </c>
      <c r="J571">
        <v>0</v>
      </c>
      <c r="K571">
        <v>98230</v>
      </c>
      <c r="L571" s="1" t="s">
        <v>23</v>
      </c>
      <c r="M571" s="1" t="s">
        <v>52</v>
      </c>
      <c r="N571" s="2"/>
      <c r="O571">
        <v>570</v>
      </c>
      <c r="P571">
        <v>0</v>
      </c>
      <c r="Q571" t="s">
        <v>25</v>
      </c>
      <c r="R571">
        <f ca="1">DATEDIF(EMP_RAW_Data[[#This Row],[Hire Date]],IF(EMP_RAW_Data[[#This Row],[Exit Date]]="",TODAY(),EMP_RAW_Data[[#This Row],[Exit Date]]),"Y")</f>
        <v>31</v>
      </c>
      <c r="S571" t="str">
        <f>IF(EMP_RAW_Data[[#This Row],[Status]]=1,"Inactive","Active")</f>
        <v>Active</v>
      </c>
    </row>
    <row r="572" spans="1:19" hidden="1" x14ac:dyDescent="0.3">
      <c r="A572" s="1" t="s">
        <v>655</v>
      </c>
      <c r="B572" s="1" t="s">
        <v>151</v>
      </c>
      <c r="C572" s="1" t="s">
        <v>62</v>
      </c>
      <c r="D572" s="1" t="s">
        <v>20</v>
      </c>
      <c r="E572" s="1" t="s">
        <v>21</v>
      </c>
      <c r="F572">
        <v>36</v>
      </c>
      <c r="G572" t="s">
        <v>59</v>
      </c>
      <c r="H572" s="2">
        <v>43448</v>
      </c>
      <c r="I572">
        <v>96757</v>
      </c>
      <c r="J572">
        <v>0</v>
      </c>
      <c r="K572">
        <v>96757</v>
      </c>
      <c r="L572" s="1" t="s">
        <v>23</v>
      </c>
      <c r="M572" s="1" t="s">
        <v>74</v>
      </c>
      <c r="N572" s="2"/>
      <c r="O572">
        <v>571</v>
      </c>
      <c r="P572">
        <v>0</v>
      </c>
      <c r="Q572" t="s">
        <v>25</v>
      </c>
      <c r="R572">
        <f ca="1">DATEDIF(EMP_RAW_Data[[#This Row],[Hire Date]],IF(EMP_RAW_Data[[#This Row],[Exit Date]]="",TODAY(),EMP_RAW_Data[[#This Row],[Exit Date]]),"Y")</f>
        <v>7</v>
      </c>
      <c r="S572" t="str">
        <f>IF(EMP_RAW_Data[[#This Row],[Status]]=1,"Inactive","Active")</f>
        <v>Active</v>
      </c>
    </row>
    <row r="573" spans="1:19" hidden="1" x14ac:dyDescent="0.3">
      <c r="A573" s="1" t="s">
        <v>656</v>
      </c>
      <c r="B573" s="1" t="s">
        <v>96</v>
      </c>
      <c r="C573" s="1" t="s">
        <v>69</v>
      </c>
      <c r="D573" s="1" t="s">
        <v>28</v>
      </c>
      <c r="E573" s="1" t="s">
        <v>29</v>
      </c>
      <c r="F573">
        <v>35</v>
      </c>
      <c r="G573" t="s">
        <v>59</v>
      </c>
      <c r="H573" s="2">
        <v>44015</v>
      </c>
      <c r="I573">
        <v>51513</v>
      </c>
      <c r="J573">
        <v>0</v>
      </c>
      <c r="K573">
        <v>51513</v>
      </c>
      <c r="L573" s="1" t="s">
        <v>23</v>
      </c>
      <c r="M573" s="1" t="s">
        <v>74</v>
      </c>
      <c r="N573" s="2"/>
      <c r="O573">
        <v>572</v>
      </c>
      <c r="P573">
        <v>0</v>
      </c>
      <c r="Q573" t="s">
        <v>25</v>
      </c>
      <c r="R573">
        <f ca="1">DATEDIF(EMP_RAW_Data[[#This Row],[Hire Date]],IF(EMP_RAW_Data[[#This Row],[Exit Date]]="",TODAY(),EMP_RAW_Data[[#This Row],[Exit Date]]),"Y")</f>
        <v>5</v>
      </c>
      <c r="S573" t="str">
        <f>IF(EMP_RAW_Data[[#This Row],[Status]]=1,"Inactive","Active")</f>
        <v>Active</v>
      </c>
    </row>
    <row r="574" spans="1:19" hidden="1" x14ac:dyDescent="0.3">
      <c r="A574" s="1" t="s">
        <v>657</v>
      </c>
      <c r="B574" s="1" t="s">
        <v>68</v>
      </c>
      <c r="C574" s="1" t="s">
        <v>69</v>
      </c>
      <c r="D574" s="1" t="s">
        <v>47</v>
      </c>
      <c r="E574" s="1" t="s">
        <v>29</v>
      </c>
      <c r="F574">
        <v>60</v>
      </c>
      <c r="G574" t="s">
        <v>22</v>
      </c>
      <c r="H574" s="2">
        <v>39109</v>
      </c>
      <c r="I574">
        <v>234311</v>
      </c>
      <c r="J574">
        <v>0.37</v>
      </c>
      <c r="K574">
        <v>321006.07</v>
      </c>
      <c r="L574" s="1" t="s">
        <v>23</v>
      </c>
      <c r="M574" s="1" t="s">
        <v>52</v>
      </c>
      <c r="N574" s="2"/>
      <c r="O574">
        <v>573</v>
      </c>
      <c r="P574">
        <v>0</v>
      </c>
      <c r="Q574" t="s">
        <v>25</v>
      </c>
      <c r="R574">
        <f ca="1">DATEDIF(EMP_RAW_Data[[#This Row],[Hire Date]],IF(EMP_RAW_Data[[#This Row],[Exit Date]]="",TODAY(),EMP_RAW_Data[[#This Row],[Exit Date]]),"Y")</f>
        <v>19</v>
      </c>
      <c r="S574" t="str">
        <f>IF(EMP_RAW_Data[[#This Row],[Status]]=1,"Inactive","Active")</f>
        <v>Active</v>
      </c>
    </row>
    <row r="575" spans="1:19" hidden="1" x14ac:dyDescent="0.3">
      <c r="A575" s="1" t="s">
        <v>658</v>
      </c>
      <c r="B575" s="1" t="s">
        <v>18</v>
      </c>
      <c r="C575" s="1" t="s">
        <v>58</v>
      </c>
      <c r="D575" s="1" t="s">
        <v>35</v>
      </c>
      <c r="E575" s="1" t="s">
        <v>21</v>
      </c>
      <c r="F575">
        <v>45</v>
      </c>
      <c r="G575" t="s">
        <v>36</v>
      </c>
      <c r="H575" s="2">
        <v>40685</v>
      </c>
      <c r="I575">
        <v>152353</v>
      </c>
      <c r="J575">
        <v>0.14000000000000001</v>
      </c>
      <c r="K575">
        <v>173682.42</v>
      </c>
      <c r="L575" s="1" t="s">
        <v>23</v>
      </c>
      <c r="M575" s="1" t="s">
        <v>24</v>
      </c>
      <c r="N575" s="2"/>
      <c r="O575">
        <v>574</v>
      </c>
      <c r="P575">
        <v>0</v>
      </c>
      <c r="Q575" t="s">
        <v>25</v>
      </c>
      <c r="R575">
        <f ca="1">DATEDIF(EMP_RAW_Data[[#This Row],[Hire Date]],IF(EMP_RAW_Data[[#This Row],[Exit Date]]="",TODAY(),EMP_RAW_Data[[#This Row],[Exit Date]]),"Y")</f>
        <v>14</v>
      </c>
      <c r="S575" t="str">
        <f>IF(EMP_RAW_Data[[#This Row],[Status]]=1,"Inactive","Active")</f>
        <v>Active</v>
      </c>
    </row>
    <row r="576" spans="1:19" hidden="1" x14ac:dyDescent="0.3">
      <c r="A576" s="1" t="s">
        <v>659</v>
      </c>
      <c r="B576" s="1" t="s">
        <v>18</v>
      </c>
      <c r="C576" s="1" t="s">
        <v>54</v>
      </c>
      <c r="D576" s="1" t="s">
        <v>35</v>
      </c>
      <c r="E576" s="1" t="s">
        <v>21</v>
      </c>
      <c r="F576">
        <v>48</v>
      </c>
      <c r="G576" t="s">
        <v>36</v>
      </c>
      <c r="H576" s="2">
        <v>40389</v>
      </c>
      <c r="I576">
        <v>124774</v>
      </c>
      <c r="J576">
        <v>0.12</v>
      </c>
      <c r="K576">
        <v>139746.88</v>
      </c>
      <c r="L576" s="1" t="s">
        <v>23</v>
      </c>
      <c r="M576" s="1" t="s">
        <v>43</v>
      </c>
      <c r="N576" s="2"/>
      <c r="O576">
        <v>575</v>
      </c>
      <c r="P576">
        <v>0</v>
      </c>
      <c r="Q576" t="s">
        <v>25</v>
      </c>
      <c r="R576">
        <f ca="1">DATEDIF(EMP_RAW_Data[[#This Row],[Hire Date]],IF(EMP_RAW_Data[[#This Row],[Exit Date]]="",TODAY(),EMP_RAW_Data[[#This Row],[Exit Date]]),"Y")</f>
        <v>15</v>
      </c>
      <c r="S576" t="str">
        <f>IF(EMP_RAW_Data[[#This Row],[Status]]=1,"Inactive","Active")</f>
        <v>Active</v>
      </c>
    </row>
    <row r="577" spans="1:19" hidden="1" x14ac:dyDescent="0.3">
      <c r="A577" s="1" t="s">
        <v>660</v>
      </c>
      <c r="B577" s="1" t="s">
        <v>33</v>
      </c>
      <c r="C577" s="1" t="s">
        <v>69</v>
      </c>
      <c r="D577" s="1" t="s">
        <v>47</v>
      </c>
      <c r="E577" s="1" t="s">
        <v>21</v>
      </c>
      <c r="F577">
        <v>36</v>
      </c>
      <c r="G577" t="s">
        <v>59</v>
      </c>
      <c r="H577" s="2">
        <v>40434</v>
      </c>
      <c r="I577">
        <v>157070</v>
      </c>
      <c r="J577">
        <v>0.28000000000000003</v>
      </c>
      <c r="K577">
        <v>201049.60000000001</v>
      </c>
      <c r="L577" s="1" t="s">
        <v>30</v>
      </c>
      <c r="M577" s="1" t="s">
        <v>31</v>
      </c>
      <c r="N577" s="2"/>
      <c r="O577">
        <v>576</v>
      </c>
      <c r="P577">
        <v>0</v>
      </c>
      <c r="Q577" t="s">
        <v>25</v>
      </c>
      <c r="R577">
        <f ca="1">DATEDIF(EMP_RAW_Data[[#This Row],[Hire Date]],IF(EMP_RAW_Data[[#This Row],[Exit Date]]="",TODAY(),EMP_RAW_Data[[#This Row],[Exit Date]]),"Y")</f>
        <v>15</v>
      </c>
      <c r="S577" t="str">
        <f>IF(EMP_RAW_Data[[#This Row],[Status]]=1,"Inactive","Active")</f>
        <v>Active</v>
      </c>
    </row>
    <row r="578" spans="1:19" x14ac:dyDescent="0.3">
      <c r="A578" s="1" t="s">
        <v>661</v>
      </c>
      <c r="B578" s="1" t="s">
        <v>18</v>
      </c>
      <c r="C578" s="1" t="s">
        <v>34</v>
      </c>
      <c r="D578" s="1" t="s">
        <v>35</v>
      </c>
      <c r="E578" s="1" t="s">
        <v>29</v>
      </c>
      <c r="F578">
        <v>44</v>
      </c>
      <c r="G578" t="s">
        <v>59</v>
      </c>
      <c r="H578" s="2">
        <v>43685</v>
      </c>
      <c r="I578">
        <v>130133</v>
      </c>
      <c r="J578">
        <v>0.15</v>
      </c>
      <c r="K578">
        <v>149652.95000000001</v>
      </c>
      <c r="L578" s="1" t="s">
        <v>23</v>
      </c>
      <c r="M578" s="1" t="s">
        <v>55</v>
      </c>
      <c r="N578" s="2">
        <v>44699</v>
      </c>
      <c r="O578">
        <v>577</v>
      </c>
      <c r="P578">
        <v>1</v>
      </c>
      <c r="Q578" t="s">
        <v>25</v>
      </c>
      <c r="R578">
        <f ca="1">DATEDIF(EMP_RAW_Data[[#This Row],[Hire Date]],IF(EMP_RAW_Data[[#This Row],[Exit Date]]="",TODAY(),EMP_RAW_Data[[#This Row],[Exit Date]]),"Y")</f>
        <v>2</v>
      </c>
      <c r="S578" t="str">
        <f>IF(EMP_RAW_Data[[#This Row],[Status]]=1,"Inactive","Active")</f>
        <v>Inactive</v>
      </c>
    </row>
    <row r="579" spans="1:19" hidden="1" x14ac:dyDescent="0.3">
      <c r="A579" s="1" t="s">
        <v>662</v>
      </c>
      <c r="B579" s="1" t="s">
        <v>49</v>
      </c>
      <c r="C579" s="1" t="s">
        <v>69</v>
      </c>
      <c r="D579" s="1" t="s">
        <v>28</v>
      </c>
      <c r="E579" s="1" t="s">
        <v>21</v>
      </c>
      <c r="F579">
        <v>64</v>
      </c>
      <c r="G579" t="s">
        <v>22</v>
      </c>
      <c r="H579" s="2">
        <v>43729</v>
      </c>
      <c r="I579">
        <v>108780</v>
      </c>
      <c r="J579">
        <v>0.06</v>
      </c>
      <c r="K579">
        <v>115306.8</v>
      </c>
      <c r="L579" s="1" t="s">
        <v>30</v>
      </c>
      <c r="M579" s="1" t="s">
        <v>65</v>
      </c>
      <c r="N579" s="2"/>
      <c r="O579">
        <v>578</v>
      </c>
      <c r="P579">
        <v>0</v>
      </c>
      <c r="Q579" t="s">
        <v>25</v>
      </c>
      <c r="R579">
        <f ca="1">DATEDIF(EMP_RAW_Data[[#This Row],[Hire Date]],IF(EMP_RAW_Data[[#This Row],[Exit Date]]="",TODAY(),EMP_RAW_Data[[#This Row],[Exit Date]]),"Y")</f>
        <v>6</v>
      </c>
      <c r="S579" t="str">
        <f>IF(EMP_RAW_Data[[#This Row],[Status]]=1,"Inactive","Active")</f>
        <v>Active</v>
      </c>
    </row>
    <row r="580" spans="1:19" hidden="1" x14ac:dyDescent="0.3">
      <c r="A580" s="1" t="s">
        <v>663</v>
      </c>
      <c r="B580" s="1" t="s">
        <v>33</v>
      </c>
      <c r="C580" s="1" t="s">
        <v>62</v>
      </c>
      <c r="D580" s="1" t="s">
        <v>35</v>
      </c>
      <c r="E580" s="1" t="s">
        <v>21</v>
      </c>
      <c r="F580">
        <v>46</v>
      </c>
      <c r="G580" t="s">
        <v>36</v>
      </c>
      <c r="H580" s="2">
        <v>44125</v>
      </c>
      <c r="I580">
        <v>151853</v>
      </c>
      <c r="J580">
        <v>0.16</v>
      </c>
      <c r="K580">
        <v>176149.48</v>
      </c>
      <c r="L580" s="1" t="s">
        <v>30</v>
      </c>
      <c r="M580" s="1" t="s">
        <v>102</v>
      </c>
      <c r="N580" s="2"/>
      <c r="O580">
        <v>579</v>
      </c>
      <c r="P580">
        <v>0</v>
      </c>
      <c r="Q580" t="s">
        <v>25</v>
      </c>
      <c r="R580">
        <f ca="1">DATEDIF(EMP_RAW_Data[[#This Row],[Hire Date]],IF(EMP_RAW_Data[[#This Row],[Exit Date]]="",TODAY(),EMP_RAW_Data[[#This Row],[Exit Date]]),"Y")</f>
        <v>5</v>
      </c>
      <c r="S580" t="str">
        <f>IF(EMP_RAW_Data[[#This Row],[Status]]=1,"Inactive","Active")</f>
        <v>Active</v>
      </c>
    </row>
    <row r="581" spans="1:19" hidden="1" x14ac:dyDescent="0.3">
      <c r="A581" s="1" t="s">
        <v>664</v>
      </c>
      <c r="B581" s="1" t="s">
        <v>45</v>
      </c>
      <c r="C581" s="1" t="s">
        <v>46</v>
      </c>
      <c r="D581" s="1" t="s">
        <v>28</v>
      </c>
      <c r="E581" s="1" t="s">
        <v>21</v>
      </c>
      <c r="F581">
        <v>62</v>
      </c>
      <c r="G581" t="s">
        <v>22</v>
      </c>
      <c r="H581" s="2">
        <v>38977</v>
      </c>
      <c r="I581">
        <v>64669</v>
      </c>
      <c r="J581">
        <v>0</v>
      </c>
      <c r="K581">
        <v>64669</v>
      </c>
      <c r="L581" s="1" t="s">
        <v>30</v>
      </c>
      <c r="M581" s="1" t="s">
        <v>31</v>
      </c>
      <c r="N581" s="2"/>
      <c r="O581">
        <v>580</v>
      </c>
      <c r="P581">
        <v>0</v>
      </c>
      <c r="Q581" t="s">
        <v>25</v>
      </c>
      <c r="R581">
        <f ca="1">DATEDIF(EMP_RAW_Data[[#This Row],[Hire Date]],IF(EMP_RAW_Data[[#This Row],[Exit Date]]="",TODAY(),EMP_RAW_Data[[#This Row],[Exit Date]]),"Y")</f>
        <v>19</v>
      </c>
      <c r="S581" t="str">
        <f>IF(EMP_RAW_Data[[#This Row],[Status]]=1,"Inactive","Active")</f>
        <v>Active</v>
      </c>
    </row>
    <row r="582" spans="1:19" hidden="1" x14ac:dyDescent="0.3">
      <c r="A582" s="1" t="s">
        <v>665</v>
      </c>
      <c r="B582" s="1" t="s">
        <v>96</v>
      </c>
      <c r="C582" s="1" t="s">
        <v>69</v>
      </c>
      <c r="D582" s="1" t="s">
        <v>20</v>
      </c>
      <c r="E582" s="1" t="s">
        <v>29</v>
      </c>
      <c r="F582">
        <v>61</v>
      </c>
      <c r="G582" t="s">
        <v>22</v>
      </c>
      <c r="H582" s="2">
        <v>39568</v>
      </c>
      <c r="I582">
        <v>69352</v>
      </c>
      <c r="J582">
        <v>0</v>
      </c>
      <c r="K582">
        <v>69352</v>
      </c>
      <c r="L582" s="1" t="s">
        <v>77</v>
      </c>
      <c r="M582" s="1" t="s">
        <v>81</v>
      </c>
      <c r="N582" s="2"/>
      <c r="O582">
        <v>581</v>
      </c>
      <c r="P582">
        <v>0</v>
      </c>
      <c r="Q582" t="s">
        <v>25</v>
      </c>
      <c r="R582">
        <f ca="1">DATEDIF(EMP_RAW_Data[[#This Row],[Hire Date]],IF(EMP_RAW_Data[[#This Row],[Exit Date]]="",TODAY(),EMP_RAW_Data[[#This Row],[Exit Date]]),"Y")</f>
        <v>17</v>
      </c>
      <c r="S582" t="str">
        <f>IF(EMP_RAW_Data[[#This Row],[Status]]=1,"Inactive","Active")</f>
        <v>Active</v>
      </c>
    </row>
    <row r="583" spans="1:19" hidden="1" x14ac:dyDescent="0.3">
      <c r="A583" s="1" t="s">
        <v>666</v>
      </c>
      <c r="B583" s="1" t="s">
        <v>96</v>
      </c>
      <c r="C583" s="1" t="s">
        <v>69</v>
      </c>
      <c r="D583" s="1" t="s">
        <v>20</v>
      </c>
      <c r="E583" s="1" t="s">
        <v>29</v>
      </c>
      <c r="F583">
        <v>65</v>
      </c>
      <c r="G583" t="s">
        <v>71</v>
      </c>
      <c r="H583" s="2">
        <v>37181</v>
      </c>
      <c r="I583">
        <v>74631</v>
      </c>
      <c r="J583">
        <v>0</v>
      </c>
      <c r="K583">
        <v>74631</v>
      </c>
      <c r="L583" s="1" t="s">
        <v>30</v>
      </c>
      <c r="M583" s="1" t="s">
        <v>31</v>
      </c>
      <c r="N583" s="2"/>
      <c r="O583">
        <v>582</v>
      </c>
      <c r="P583">
        <v>0</v>
      </c>
      <c r="Q583" t="s">
        <v>25</v>
      </c>
      <c r="R583">
        <f ca="1">DATEDIF(EMP_RAW_Data[[#This Row],[Hire Date]],IF(EMP_RAW_Data[[#This Row],[Exit Date]]="",TODAY(),EMP_RAW_Data[[#This Row],[Exit Date]]),"Y")</f>
        <v>24</v>
      </c>
      <c r="S583" t="str">
        <f>IF(EMP_RAW_Data[[#This Row],[Status]]=1,"Inactive","Active")</f>
        <v>Active</v>
      </c>
    </row>
    <row r="584" spans="1:19" hidden="1" x14ac:dyDescent="0.3">
      <c r="A584" s="1" t="s">
        <v>667</v>
      </c>
      <c r="B584" s="1" t="s">
        <v>86</v>
      </c>
      <c r="C584" s="1" t="s">
        <v>62</v>
      </c>
      <c r="D584" s="1" t="s">
        <v>35</v>
      </c>
      <c r="E584" s="1" t="s">
        <v>29</v>
      </c>
      <c r="F584">
        <v>54</v>
      </c>
      <c r="G584" t="s">
        <v>36</v>
      </c>
      <c r="H584" s="2">
        <v>41028</v>
      </c>
      <c r="I584">
        <v>96441</v>
      </c>
      <c r="J584">
        <v>0</v>
      </c>
      <c r="K584">
        <v>96441</v>
      </c>
      <c r="L584" s="1" t="s">
        <v>77</v>
      </c>
      <c r="M584" s="1" t="s">
        <v>148</v>
      </c>
      <c r="N584" s="2"/>
      <c r="O584">
        <v>583</v>
      </c>
      <c r="P584">
        <v>0</v>
      </c>
      <c r="Q584" t="s">
        <v>25</v>
      </c>
      <c r="R584">
        <f ca="1">DATEDIF(EMP_RAW_Data[[#This Row],[Hire Date]],IF(EMP_RAW_Data[[#This Row],[Exit Date]]="",TODAY(),EMP_RAW_Data[[#This Row],[Exit Date]]),"Y")</f>
        <v>13</v>
      </c>
      <c r="S584" t="str">
        <f>IF(EMP_RAW_Data[[#This Row],[Status]]=1,"Inactive","Active")</f>
        <v>Active</v>
      </c>
    </row>
    <row r="585" spans="1:19" hidden="1" x14ac:dyDescent="0.3">
      <c r="A585" s="1" t="s">
        <v>668</v>
      </c>
      <c r="B585" s="1" t="s">
        <v>89</v>
      </c>
      <c r="C585" s="1" t="s">
        <v>62</v>
      </c>
      <c r="D585" s="1" t="s">
        <v>35</v>
      </c>
      <c r="E585" s="1" t="s">
        <v>29</v>
      </c>
      <c r="F585">
        <v>46</v>
      </c>
      <c r="G585" t="s">
        <v>36</v>
      </c>
      <c r="H585" s="2">
        <v>40836</v>
      </c>
      <c r="I585">
        <v>114250</v>
      </c>
      <c r="J585">
        <v>0.14000000000000001</v>
      </c>
      <c r="K585">
        <v>130245</v>
      </c>
      <c r="L585" s="1" t="s">
        <v>30</v>
      </c>
      <c r="M585" s="1" t="s">
        <v>102</v>
      </c>
      <c r="N585" s="2"/>
      <c r="O585">
        <v>584</v>
      </c>
      <c r="P585">
        <v>0</v>
      </c>
      <c r="Q585" t="s">
        <v>25</v>
      </c>
      <c r="R585">
        <f ca="1">DATEDIF(EMP_RAW_Data[[#This Row],[Hire Date]],IF(EMP_RAW_Data[[#This Row],[Exit Date]]="",TODAY(),EMP_RAW_Data[[#This Row],[Exit Date]]),"Y")</f>
        <v>14</v>
      </c>
      <c r="S585" t="str">
        <f>IF(EMP_RAW_Data[[#This Row],[Status]]=1,"Inactive","Active")</f>
        <v>Active</v>
      </c>
    </row>
    <row r="586" spans="1:19" hidden="1" x14ac:dyDescent="0.3">
      <c r="A586" s="1" t="s">
        <v>669</v>
      </c>
      <c r="B586" s="1" t="s">
        <v>39</v>
      </c>
      <c r="C586" s="1" t="s">
        <v>19</v>
      </c>
      <c r="D586" s="1" t="s">
        <v>47</v>
      </c>
      <c r="E586" s="1" t="s">
        <v>29</v>
      </c>
      <c r="F586">
        <v>36</v>
      </c>
      <c r="G586" t="s">
        <v>59</v>
      </c>
      <c r="H586" s="2">
        <v>44192</v>
      </c>
      <c r="I586">
        <v>70165</v>
      </c>
      <c r="J586">
        <v>7.0000000000000007E-2</v>
      </c>
      <c r="K586">
        <v>75076.55</v>
      </c>
      <c r="L586" s="1" t="s">
        <v>77</v>
      </c>
      <c r="M586" s="1" t="s">
        <v>78</v>
      </c>
      <c r="N586" s="2"/>
      <c r="O586">
        <v>585</v>
      </c>
      <c r="P586">
        <v>0</v>
      </c>
      <c r="Q586" t="s">
        <v>25</v>
      </c>
      <c r="R586">
        <f ca="1">DATEDIF(EMP_RAW_Data[[#This Row],[Hire Date]],IF(EMP_RAW_Data[[#This Row],[Exit Date]]="",TODAY(),EMP_RAW_Data[[#This Row],[Exit Date]]),"Y")</f>
        <v>5</v>
      </c>
      <c r="S586" t="str">
        <f>IF(EMP_RAW_Data[[#This Row],[Status]]=1,"Inactive","Active")</f>
        <v>Active</v>
      </c>
    </row>
    <row r="587" spans="1:19" hidden="1" x14ac:dyDescent="0.3">
      <c r="A587" s="1" t="s">
        <v>670</v>
      </c>
      <c r="B587" s="1" t="s">
        <v>49</v>
      </c>
      <c r="C587" s="1" t="s">
        <v>19</v>
      </c>
      <c r="D587" s="1" t="s">
        <v>47</v>
      </c>
      <c r="E587" s="1" t="s">
        <v>29</v>
      </c>
      <c r="F587">
        <v>60</v>
      </c>
      <c r="G587" t="s">
        <v>22</v>
      </c>
      <c r="H587" s="2">
        <v>36554</v>
      </c>
      <c r="I587">
        <v>109059</v>
      </c>
      <c r="J587">
        <v>7.0000000000000007E-2</v>
      </c>
      <c r="K587">
        <v>116693.13</v>
      </c>
      <c r="L587" s="1" t="s">
        <v>30</v>
      </c>
      <c r="M587" s="1" t="s">
        <v>102</v>
      </c>
      <c r="N587" s="2"/>
      <c r="O587">
        <v>586</v>
      </c>
      <c r="P587">
        <v>0</v>
      </c>
      <c r="Q587" t="s">
        <v>25</v>
      </c>
      <c r="R587">
        <f ca="1">DATEDIF(EMP_RAW_Data[[#This Row],[Hire Date]],IF(EMP_RAW_Data[[#This Row],[Exit Date]]="",TODAY(),EMP_RAW_Data[[#This Row],[Exit Date]]),"Y")</f>
        <v>26</v>
      </c>
      <c r="S587" t="str">
        <f>IF(EMP_RAW_Data[[#This Row],[Status]]=1,"Inactive","Active")</f>
        <v>Active</v>
      </c>
    </row>
    <row r="588" spans="1:19" hidden="1" x14ac:dyDescent="0.3">
      <c r="A588" s="1" t="s">
        <v>671</v>
      </c>
      <c r="B588" s="1" t="s">
        <v>128</v>
      </c>
      <c r="C588" s="1" t="s">
        <v>62</v>
      </c>
      <c r="D588" s="1" t="s">
        <v>20</v>
      </c>
      <c r="E588" s="1" t="s">
        <v>21</v>
      </c>
      <c r="F588">
        <v>30</v>
      </c>
      <c r="G588" t="s">
        <v>40</v>
      </c>
      <c r="H588" s="2">
        <v>42322</v>
      </c>
      <c r="I588">
        <v>77442</v>
      </c>
      <c r="J588">
        <v>0</v>
      </c>
      <c r="K588">
        <v>77442</v>
      </c>
      <c r="L588" s="1" t="s">
        <v>23</v>
      </c>
      <c r="M588" s="1" t="s">
        <v>74</v>
      </c>
      <c r="N588" s="2"/>
      <c r="O588">
        <v>587</v>
      </c>
      <c r="P588">
        <v>0</v>
      </c>
      <c r="Q588" t="s">
        <v>25</v>
      </c>
      <c r="R588">
        <f ca="1">DATEDIF(EMP_RAW_Data[[#This Row],[Hire Date]],IF(EMP_RAW_Data[[#This Row],[Exit Date]]="",TODAY(),EMP_RAW_Data[[#This Row],[Exit Date]]),"Y")</f>
        <v>10</v>
      </c>
      <c r="S588" t="str">
        <f>IF(EMP_RAW_Data[[#This Row],[Status]]=1,"Inactive","Active")</f>
        <v>Active</v>
      </c>
    </row>
    <row r="589" spans="1:19" hidden="1" x14ac:dyDescent="0.3">
      <c r="A589" s="1" t="s">
        <v>672</v>
      </c>
      <c r="B589" s="1" t="s">
        <v>96</v>
      </c>
      <c r="C589" s="1" t="s">
        <v>46</v>
      </c>
      <c r="D589" s="1" t="s">
        <v>47</v>
      </c>
      <c r="E589" s="1" t="s">
        <v>21</v>
      </c>
      <c r="F589">
        <v>34</v>
      </c>
      <c r="G589" t="s">
        <v>40</v>
      </c>
      <c r="H589" s="2">
        <v>41066</v>
      </c>
      <c r="I589">
        <v>72126</v>
      </c>
      <c r="J589">
        <v>0</v>
      </c>
      <c r="K589">
        <v>72126</v>
      </c>
      <c r="L589" s="1" t="s">
        <v>77</v>
      </c>
      <c r="M589" s="1" t="s">
        <v>78</v>
      </c>
      <c r="N589" s="2"/>
      <c r="O589">
        <v>588</v>
      </c>
      <c r="P589">
        <v>0</v>
      </c>
      <c r="Q589" t="s">
        <v>25</v>
      </c>
      <c r="R589">
        <f ca="1">DATEDIF(EMP_RAW_Data[[#This Row],[Hire Date]],IF(EMP_RAW_Data[[#This Row],[Exit Date]]="",TODAY(),EMP_RAW_Data[[#This Row],[Exit Date]]),"Y")</f>
        <v>13</v>
      </c>
      <c r="S589" t="str">
        <f>IF(EMP_RAW_Data[[#This Row],[Status]]=1,"Inactive","Active")</f>
        <v>Active</v>
      </c>
    </row>
    <row r="590" spans="1:19" hidden="1" x14ac:dyDescent="0.3">
      <c r="A590" s="1" t="s">
        <v>673</v>
      </c>
      <c r="B590" s="1" t="s">
        <v>278</v>
      </c>
      <c r="C590" s="1" t="s">
        <v>19</v>
      </c>
      <c r="D590" s="1" t="s">
        <v>28</v>
      </c>
      <c r="E590" s="1" t="s">
        <v>29</v>
      </c>
      <c r="F590">
        <v>55</v>
      </c>
      <c r="G590" t="s">
        <v>22</v>
      </c>
      <c r="H590" s="2">
        <v>41565</v>
      </c>
      <c r="I590">
        <v>70334</v>
      </c>
      <c r="J590">
        <v>0</v>
      </c>
      <c r="K590">
        <v>70334</v>
      </c>
      <c r="L590" s="1" t="s">
        <v>23</v>
      </c>
      <c r="M590" s="1" t="s">
        <v>52</v>
      </c>
      <c r="N590" s="2"/>
      <c r="O590">
        <v>589</v>
      </c>
      <c r="P590">
        <v>0</v>
      </c>
      <c r="Q590" t="s">
        <v>25</v>
      </c>
      <c r="R590">
        <f ca="1">DATEDIF(EMP_RAW_Data[[#This Row],[Hire Date]],IF(EMP_RAW_Data[[#This Row],[Exit Date]]="",TODAY(),EMP_RAW_Data[[#This Row],[Exit Date]]),"Y")</f>
        <v>12</v>
      </c>
      <c r="S590" t="str">
        <f>IF(EMP_RAW_Data[[#This Row],[Status]]=1,"Inactive","Active")</f>
        <v>Active</v>
      </c>
    </row>
    <row r="591" spans="1:19" hidden="1" x14ac:dyDescent="0.3">
      <c r="A591" s="1" t="s">
        <v>674</v>
      </c>
      <c r="B591" s="1" t="s">
        <v>86</v>
      </c>
      <c r="C591" s="1" t="s">
        <v>62</v>
      </c>
      <c r="D591" s="1" t="s">
        <v>20</v>
      </c>
      <c r="E591" s="1" t="s">
        <v>29</v>
      </c>
      <c r="F591">
        <v>59</v>
      </c>
      <c r="G591" t="s">
        <v>22</v>
      </c>
      <c r="H591" s="2">
        <v>40170</v>
      </c>
      <c r="I591">
        <v>78006</v>
      </c>
      <c r="J591">
        <v>0</v>
      </c>
      <c r="K591">
        <v>78006</v>
      </c>
      <c r="L591" s="1" t="s">
        <v>23</v>
      </c>
      <c r="M591" s="1" t="s">
        <v>52</v>
      </c>
      <c r="N591" s="2"/>
      <c r="O591">
        <v>590</v>
      </c>
      <c r="P591">
        <v>0</v>
      </c>
      <c r="Q591" t="s">
        <v>25</v>
      </c>
      <c r="R591">
        <f ca="1">DATEDIF(EMP_RAW_Data[[#This Row],[Hire Date]],IF(EMP_RAW_Data[[#This Row],[Exit Date]]="",TODAY(),EMP_RAW_Data[[#This Row],[Exit Date]]),"Y")</f>
        <v>16</v>
      </c>
      <c r="S591" t="str">
        <f>IF(EMP_RAW_Data[[#This Row],[Status]]=1,"Inactive","Active")</f>
        <v>Active</v>
      </c>
    </row>
    <row r="592" spans="1:19" x14ac:dyDescent="0.3">
      <c r="A592" s="1" t="s">
        <v>675</v>
      </c>
      <c r="B592" s="1" t="s">
        <v>33</v>
      </c>
      <c r="C592" s="1" t="s">
        <v>19</v>
      </c>
      <c r="D592" s="1" t="s">
        <v>28</v>
      </c>
      <c r="E592" s="1" t="s">
        <v>21</v>
      </c>
      <c r="F592">
        <v>28</v>
      </c>
      <c r="G592" t="s">
        <v>40</v>
      </c>
      <c r="H592" s="2">
        <v>44221</v>
      </c>
      <c r="I592">
        <v>160385</v>
      </c>
      <c r="J592">
        <v>0.23</v>
      </c>
      <c r="K592">
        <v>197273.55</v>
      </c>
      <c r="L592" s="1" t="s">
        <v>23</v>
      </c>
      <c r="M592" s="1" t="s">
        <v>52</v>
      </c>
      <c r="N592" s="2">
        <v>44334</v>
      </c>
      <c r="O592">
        <v>591</v>
      </c>
      <c r="P592">
        <v>1</v>
      </c>
      <c r="Q592" t="s">
        <v>25</v>
      </c>
      <c r="R592">
        <f ca="1">DATEDIF(EMP_RAW_Data[[#This Row],[Hire Date]],IF(EMP_RAW_Data[[#This Row],[Exit Date]]="",TODAY(),EMP_RAW_Data[[#This Row],[Exit Date]]),"Y")</f>
        <v>0</v>
      </c>
      <c r="S592" t="str">
        <f>IF(EMP_RAW_Data[[#This Row],[Status]]=1,"Inactive","Active")</f>
        <v>Inactive</v>
      </c>
    </row>
    <row r="593" spans="1:19" hidden="1" x14ac:dyDescent="0.3">
      <c r="A593" s="1" t="s">
        <v>676</v>
      </c>
      <c r="B593" s="1" t="s">
        <v>68</v>
      </c>
      <c r="C593" s="1" t="s">
        <v>34</v>
      </c>
      <c r="D593" s="1" t="s">
        <v>47</v>
      </c>
      <c r="E593" s="1" t="s">
        <v>21</v>
      </c>
      <c r="F593">
        <v>36</v>
      </c>
      <c r="G593" t="s">
        <v>59</v>
      </c>
      <c r="H593" s="2">
        <v>41650</v>
      </c>
      <c r="I593">
        <v>202323</v>
      </c>
      <c r="J593">
        <v>0.39</v>
      </c>
      <c r="K593">
        <v>281228.96999999997</v>
      </c>
      <c r="L593" s="1" t="s">
        <v>23</v>
      </c>
      <c r="M593" s="1" t="s">
        <v>37</v>
      </c>
      <c r="N593" s="2"/>
      <c r="O593">
        <v>592</v>
      </c>
      <c r="P593">
        <v>0</v>
      </c>
      <c r="Q593" t="s">
        <v>25</v>
      </c>
      <c r="R593">
        <f ca="1">DATEDIF(EMP_RAW_Data[[#This Row],[Hire Date]],IF(EMP_RAW_Data[[#This Row],[Exit Date]]="",TODAY(),EMP_RAW_Data[[#This Row],[Exit Date]]),"Y")</f>
        <v>12</v>
      </c>
      <c r="S593" t="str">
        <f>IF(EMP_RAW_Data[[#This Row],[Status]]=1,"Inactive","Active")</f>
        <v>Active</v>
      </c>
    </row>
    <row r="594" spans="1:19" hidden="1" x14ac:dyDescent="0.3">
      <c r="A594" s="1" t="s">
        <v>677</v>
      </c>
      <c r="B594" s="1" t="s">
        <v>18</v>
      </c>
      <c r="C594" s="1" t="s">
        <v>58</v>
      </c>
      <c r="D594" s="1" t="s">
        <v>47</v>
      </c>
      <c r="E594" s="1" t="s">
        <v>21</v>
      </c>
      <c r="F594">
        <v>29</v>
      </c>
      <c r="G594" t="s">
        <v>40</v>
      </c>
      <c r="H594" s="2">
        <v>44025</v>
      </c>
      <c r="I594">
        <v>141555</v>
      </c>
      <c r="J594">
        <v>0.11</v>
      </c>
      <c r="K594">
        <v>157126.04999999999</v>
      </c>
      <c r="L594" s="1" t="s">
        <v>77</v>
      </c>
      <c r="M594" s="1" t="s">
        <v>78</v>
      </c>
      <c r="N594" s="2"/>
      <c r="O594">
        <v>593</v>
      </c>
      <c r="P594">
        <v>0</v>
      </c>
      <c r="Q594" t="s">
        <v>25</v>
      </c>
      <c r="R594">
        <f ca="1">DATEDIF(EMP_RAW_Data[[#This Row],[Hire Date]],IF(EMP_RAW_Data[[#This Row],[Exit Date]]="",TODAY(),EMP_RAW_Data[[#This Row],[Exit Date]]),"Y")</f>
        <v>5</v>
      </c>
      <c r="S594" t="str">
        <f>IF(EMP_RAW_Data[[#This Row],[Status]]=1,"Inactive","Active")</f>
        <v>Active</v>
      </c>
    </row>
    <row r="595" spans="1:19" hidden="1" x14ac:dyDescent="0.3">
      <c r="A595" s="1" t="s">
        <v>678</v>
      </c>
      <c r="B595" s="1" t="s">
        <v>33</v>
      </c>
      <c r="C595" s="1" t="s">
        <v>34</v>
      </c>
      <c r="D595" s="1" t="s">
        <v>35</v>
      </c>
      <c r="E595" s="1" t="s">
        <v>21</v>
      </c>
      <c r="F595">
        <v>34</v>
      </c>
      <c r="G595" t="s">
        <v>40</v>
      </c>
      <c r="H595" s="2">
        <v>44032</v>
      </c>
      <c r="I595">
        <v>184960</v>
      </c>
      <c r="J595">
        <v>0.18</v>
      </c>
      <c r="K595">
        <v>218252.79999999999</v>
      </c>
      <c r="L595" s="1" t="s">
        <v>23</v>
      </c>
      <c r="M595" s="1" t="s">
        <v>24</v>
      </c>
      <c r="N595" s="2"/>
      <c r="O595">
        <v>594</v>
      </c>
      <c r="P595">
        <v>0</v>
      </c>
      <c r="Q595" t="s">
        <v>25</v>
      </c>
      <c r="R595">
        <f ca="1">DATEDIF(EMP_RAW_Data[[#This Row],[Hire Date]],IF(EMP_RAW_Data[[#This Row],[Exit Date]]="",TODAY(),EMP_RAW_Data[[#This Row],[Exit Date]]),"Y")</f>
        <v>5</v>
      </c>
      <c r="S595" t="str">
        <f>IF(EMP_RAW_Data[[#This Row],[Status]]=1,"Inactive","Active")</f>
        <v>Active</v>
      </c>
    </row>
    <row r="596" spans="1:19" hidden="1" x14ac:dyDescent="0.3">
      <c r="A596" s="1" t="s">
        <v>679</v>
      </c>
      <c r="B596" s="1" t="s">
        <v>68</v>
      </c>
      <c r="C596" s="1" t="s">
        <v>19</v>
      </c>
      <c r="D596" s="1" t="s">
        <v>28</v>
      </c>
      <c r="E596" s="1" t="s">
        <v>29</v>
      </c>
      <c r="F596">
        <v>37</v>
      </c>
      <c r="G596" t="s">
        <v>59</v>
      </c>
      <c r="H596" s="2">
        <v>40719</v>
      </c>
      <c r="I596">
        <v>221592</v>
      </c>
      <c r="J596">
        <v>0.31</v>
      </c>
      <c r="K596">
        <v>290285.52</v>
      </c>
      <c r="L596" s="1" t="s">
        <v>23</v>
      </c>
      <c r="M596" s="1" t="s">
        <v>74</v>
      </c>
      <c r="N596" s="2"/>
      <c r="O596">
        <v>595</v>
      </c>
      <c r="P596">
        <v>0</v>
      </c>
      <c r="Q596" t="s">
        <v>25</v>
      </c>
      <c r="R596">
        <f ca="1">DATEDIF(EMP_RAW_Data[[#This Row],[Hire Date]],IF(EMP_RAW_Data[[#This Row],[Exit Date]]="",TODAY(),EMP_RAW_Data[[#This Row],[Exit Date]]),"Y")</f>
        <v>14</v>
      </c>
      <c r="S596" t="str">
        <f>IF(EMP_RAW_Data[[#This Row],[Status]]=1,"Inactive","Active")</f>
        <v>Active</v>
      </c>
    </row>
    <row r="597" spans="1:19" hidden="1" x14ac:dyDescent="0.3">
      <c r="A597" s="1" t="s">
        <v>680</v>
      </c>
      <c r="B597" s="1" t="s">
        <v>118</v>
      </c>
      <c r="C597" s="1" t="s">
        <v>58</v>
      </c>
      <c r="D597" s="1" t="s">
        <v>28</v>
      </c>
      <c r="E597" s="1" t="s">
        <v>21</v>
      </c>
      <c r="F597">
        <v>44</v>
      </c>
      <c r="G597" t="s">
        <v>59</v>
      </c>
      <c r="H597" s="2">
        <v>39841</v>
      </c>
      <c r="I597">
        <v>53301</v>
      </c>
      <c r="J597">
        <v>0</v>
      </c>
      <c r="K597">
        <v>53301</v>
      </c>
      <c r="L597" s="1" t="s">
        <v>23</v>
      </c>
      <c r="M597" s="1" t="s">
        <v>24</v>
      </c>
      <c r="N597" s="2"/>
      <c r="O597">
        <v>596</v>
      </c>
      <c r="P597">
        <v>0</v>
      </c>
      <c r="Q597" t="s">
        <v>25</v>
      </c>
      <c r="R597">
        <f ca="1">DATEDIF(EMP_RAW_Data[[#This Row],[Hire Date]],IF(EMP_RAW_Data[[#This Row],[Exit Date]]="",TODAY(),EMP_RAW_Data[[#This Row],[Exit Date]]),"Y")</f>
        <v>17</v>
      </c>
      <c r="S597" t="str">
        <f>IF(EMP_RAW_Data[[#This Row],[Status]]=1,"Inactive","Active")</f>
        <v>Active</v>
      </c>
    </row>
    <row r="598" spans="1:19" hidden="1" x14ac:dyDescent="0.3">
      <c r="A598" s="1" t="s">
        <v>681</v>
      </c>
      <c r="B598" s="1" t="s">
        <v>142</v>
      </c>
      <c r="C598" s="1" t="s">
        <v>19</v>
      </c>
      <c r="D598" s="1" t="s">
        <v>47</v>
      </c>
      <c r="E598" s="1" t="s">
        <v>29</v>
      </c>
      <c r="F598">
        <v>45</v>
      </c>
      <c r="G598" t="s">
        <v>36</v>
      </c>
      <c r="H598" s="2">
        <v>36587</v>
      </c>
      <c r="I598">
        <v>91276</v>
      </c>
      <c r="J598">
        <v>0</v>
      </c>
      <c r="K598">
        <v>91276</v>
      </c>
      <c r="L598" s="1" t="s">
        <v>23</v>
      </c>
      <c r="M598" s="1" t="s">
        <v>24</v>
      </c>
      <c r="N598" s="2"/>
      <c r="O598">
        <v>597</v>
      </c>
      <c r="P598">
        <v>0</v>
      </c>
      <c r="Q598" t="s">
        <v>25</v>
      </c>
      <c r="R598">
        <f ca="1">DATEDIF(EMP_RAW_Data[[#This Row],[Hire Date]],IF(EMP_RAW_Data[[#This Row],[Exit Date]]="",TODAY(),EMP_RAW_Data[[#This Row],[Exit Date]]),"Y")</f>
        <v>26</v>
      </c>
      <c r="S598" t="str">
        <f>IF(EMP_RAW_Data[[#This Row],[Status]]=1,"Inactive","Active")</f>
        <v>Active</v>
      </c>
    </row>
    <row r="599" spans="1:19" hidden="1" x14ac:dyDescent="0.3">
      <c r="A599" s="1" t="s">
        <v>682</v>
      </c>
      <c r="B599" s="1" t="s">
        <v>18</v>
      </c>
      <c r="C599" s="1" t="s">
        <v>58</v>
      </c>
      <c r="D599" s="1" t="s">
        <v>20</v>
      </c>
      <c r="E599" s="1" t="s">
        <v>21</v>
      </c>
      <c r="F599">
        <v>52</v>
      </c>
      <c r="G599" t="s">
        <v>36</v>
      </c>
      <c r="H599" s="2">
        <v>42983</v>
      </c>
      <c r="I599">
        <v>140042</v>
      </c>
      <c r="J599">
        <v>0.13</v>
      </c>
      <c r="K599">
        <v>158247.46</v>
      </c>
      <c r="L599" s="1" t="s">
        <v>23</v>
      </c>
      <c r="M599" s="1" t="s">
        <v>55</v>
      </c>
      <c r="N599" s="2"/>
      <c r="O599">
        <v>598</v>
      </c>
      <c r="P599">
        <v>0</v>
      </c>
      <c r="Q599" t="s">
        <v>25</v>
      </c>
      <c r="R599">
        <f ca="1">DATEDIF(EMP_RAW_Data[[#This Row],[Hire Date]],IF(EMP_RAW_Data[[#This Row],[Exit Date]]="",TODAY(),EMP_RAW_Data[[#This Row],[Exit Date]]),"Y")</f>
        <v>8</v>
      </c>
      <c r="S599" t="str">
        <f>IF(EMP_RAW_Data[[#This Row],[Status]]=1,"Inactive","Active")</f>
        <v>Active</v>
      </c>
    </row>
    <row r="600" spans="1:19" hidden="1" x14ac:dyDescent="0.3">
      <c r="A600" s="1" t="s">
        <v>683</v>
      </c>
      <c r="B600" s="1" t="s">
        <v>51</v>
      </c>
      <c r="C600" s="1" t="s">
        <v>54</v>
      </c>
      <c r="D600" s="1" t="s">
        <v>28</v>
      </c>
      <c r="E600" s="1" t="s">
        <v>21</v>
      </c>
      <c r="F600">
        <v>40</v>
      </c>
      <c r="G600" t="s">
        <v>59</v>
      </c>
      <c r="H600" s="2">
        <v>43440</v>
      </c>
      <c r="I600">
        <v>57225</v>
      </c>
      <c r="J600">
        <v>0</v>
      </c>
      <c r="K600">
        <v>57225</v>
      </c>
      <c r="L600" s="1" t="s">
        <v>23</v>
      </c>
      <c r="M600" s="1" t="s">
        <v>74</v>
      </c>
      <c r="N600" s="2"/>
      <c r="O600">
        <v>599</v>
      </c>
      <c r="P600">
        <v>0</v>
      </c>
      <c r="Q600" t="s">
        <v>25</v>
      </c>
      <c r="R600">
        <f ca="1">DATEDIF(EMP_RAW_Data[[#This Row],[Hire Date]],IF(EMP_RAW_Data[[#This Row],[Exit Date]]="",TODAY(),EMP_RAW_Data[[#This Row],[Exit Date]]),"Y")</f>
        <v>7</v>
      </c>
      <c r="S600" t="str">
        <f>IF(EMP_RAW_Data[[#This Row],[Status]]=1,"Inactive","Active")</f>
        <v>Active</v>
      </c>
    </row>
    <row r="601" spans="1:19" hidden="1" x14ac:dyDescent="0.3">
      <c r="A601" s="1" t="s">
        <v>684</v>
      </c>
      <c r="B601" s="1" t="s">
        <v>49</v>
      </c>
      <c r="C601" s="1" t="s">
        <v>58</v>
      </c>
      <c r="D601" s="1" t="s">
        <v>35</v>
      </c>
      <c r="E601" s="1" t="s">
        <v>21</v>
      </c>
      <c r="F601">
        <v>55</v>
      </c>
      <c r="G601" t="s">
        <v>22</v>
      </c>
      <c r="H601" s="2">
        <v>40233</v>
      </c>
      <c r="I601">
        <v>102839</v>
      </c>
      <c r="J601">
        <v>0.05</v>
      </c>
      <c r="K601">
        <v>107980.95</v>
      </c>
      <c r="L601" s="1" t="s">
        <v>23</v>
      </c>
      <c r="M601" s="1" t="s">
        <v>52</v>
      </c>
      <c r="N601" s="2"/>
      <c r="O601">
        <v>600</v>
      </c>
      <c r="P601">
        <v>0</v>
      </c>
      <c r="Q601" t="s">
        <v>25</v>
      </c>
      <c r="R601">
        <f ca="1">DATEDIF(EMP_RAW_Data[[#This Row],[Hire Date]],IF(EMP_RAW_Data[[#This Row],[Exit Date]]="",TODAY(),EMP_RAW_Data[[#This Row],[Exit Date]]),"Y")</f>
        <v>16</v>
      </c>
      <c r="S601" t="str">
        <f>IF(EMP_RAW_Data[[#This Row],[Status]]=1,"Inactive","Active")</f>
        <v>Active</v>
      </c>
    </row>
    <row r="602" spans="1:19" x14ac:dyDescent="0.3">
      <c r="A602" s="1" t="s">
        <v>685</v>
      </c>
      <c r="B602" s="1" t="s">
        <v>33</v>
      </c>
      <c r="C602" s="1" t="s">
        <v>69</v>
      </c>
      <c r="D602" s="1" t="s">
        <v>20</v>
      </c>
      <c r="E602" s="1" t="s">
        <v>29</v>
      </c>
      <c r="F602">
        <v>29</v>
      </c>
      <c r="G602" t="s">
        <v>40</v>
      </c>
      <c r="H602" s="2">
        <v>44454</v>
      </c>
      <c r="I602">
        <v>199783</v>
      </c>
      <c r="J602">
        <v>0.21</v>
      </c>
      <c r="K602">
        <v>241737.43</v>
      </c>
      <c r="L602" s="1" t="s">
        <v>23</v>
      </c>
      <c r="M602" s="1" t="s">
        <v>37</v>
      </c>
      <c r="N602" s="2">
        <v>44661</v>
      </c>
      <c r="O602">
        <v>601</v>
      </c>
      <c r="P602">
        <v>1</v>
      </c>
      <c r="Q602" t="s">
        <v>25</v>
      </c>
      <c r="R602">
        <f ca="1">DATEDIF(EMP_RAW_Data[[#This Row],[Hire Date]],IF(EMP_RAW_Data[[#This Row],[Exit Date]]="",TODAY(),EMP_RAW_Data[[#This Row],[Exit Date]]),"Y")</f>
        <v>0</v>
      </c>
      <c r="S602" t="str">
        <f>IF(EMP_RAW_Data[[#This Row],[Status]]=1,"Inactive","Active")</f>
        <v>Inactive</v>
      </c>
    </row>
    <row r="603" spans="1:19" hidden="1" x14ac:dyDescent="0.3">
      <c r="A603" s="1" t="s">
        <v>686</v>
      </c>
      <c r="B603" s="1" t="s">
        <v>107</v>
      </c>
      <c r="C603" s="1" t="s">
        <v>58</v>
      </c>
      <c r="D603" s="1" t="s">
        <v>20</v>
      </c>
      <c r="E603" s="1" t="s">
        <v>29</v>
      </c>
      <c r="F603">
        <v>32</v>
      </c>
      <c r="G603" t="s">
        <v>40</v>
      </c>
      <c r="H603" s="2">
        <v>44295</v>
      </c>
      <c r="I603">
        <v>70980</v>
      </c>
      <c r="J603">
        <v>0</v>
      </c>
      <c r="K603">
        <v>70980</v>
      </c>
      <c r="L603" s="1" t="s">
        <v>77</v>
      </c>
      <c r="M603" s="1" t="s">
        <v>81</v>
      </c>
      <c r="N603" s="2"/>
      <c r="O603">
        <v>602</v>
      </c>
      <c r="P603">
        <v>0</v>
      </c>
      <c r="Q603" t="s">
        <v>25</v>
      </c>
      <c r="R603">
        <f ca="1">DATEDIF(EMP_RAW_Data[[#This Row],[Hire Date]],IF(EMP_RAW_Data[[#This Row],[Exit Date]]="",TODAY(),EMP_RAW_Data[[#This Row],[Exit Date]]),"Y")</f>
        <v>4</v>
      </c>
      <c r="S603" t="str">
        <f>IF(EMP_RAW_Data[[#This Row],[Status]]=1,"Inactive","Active")</f>
        <v>Active</v>
      </c>
    </row>
    <row r="604" spans="1:19" hidden="1" x14ac:dyDescent="0.3">
      <c r="A604" s="1" t="s">
        <v>687</v>
      </c>
      <c r="B604" s="1" t="s">
        <v>49</v>
      </c>
      <c r="C604" s="1" t="s">
        <v>69</v>
      </c>
      <c r="D604" s="1" t="s">
        <v>47</v>
      </c>
      <c r="E604" s="1" t="s">
        <v>29</v>
      </c>
      <c r="F604">
        <v>51</v>
      </c>
      <c r="G604" t="s">
        <v>36</v>
      </c>
      <c r="H604" s="2">
        <v>35456</v>
      </c>
      <c r="I604">
        <v>104431</v>
      </c>
      <c r="J604">
        <v>7.0000000000000007E-2</v>
      </c>
      <c r="K604">
        <v>111741.17</v>
      </c>
      <c r="L604" s="1" t="s">
        <v>23</v>
      </c>
      <c r="M604" s="1" t="s">
        <v>43</v>
      </c>
      <c r="N604" s="2"/>
      <c r="O604">
        <v>603</v>
      </c>
      <c r="P604">
        <v>0</v>
      </c>
      <c r="Q604" t="s">
        <v>25</v>
      </c>
      <c r="R604">
        <f ca="1">DATEDIF(EMP_RAW_Data[[#This Row],[Hire Date]],IF(EMP_RAW_Data[[#This Row],[Exit Date]]="",TODAY(),EMP_RAW_Data[[#This Row],[Exit Date]]),"Y")</f>
        <v>29</v>
      </c>
      <c r="S604" t="str">
        <f>IF(EMP_RAW_Data[[#This Row],[Status]]=1,"Inactive","Active")</f>
        <v>Active</v>
      </c>
    </row>
    <row r="605" spans="1:19" hidden="1" x14ac:dyDescent="0.3">
      <c r="A605" s="1" t="s">
        <v>688</v>
      </c>
      <c r="B605" s="1" t="s">
        <v>130</v>
      </c>
      <c r="C605" s="1" t="s">
        <v>58</v>
      </c>
      <c r="D605" s="1" t="s">
        <v>35</v>
      </c>
      <c r="E605" s="1" t="s">
        <v>29</v>
      </c>
      <c r="F605">
        <v>28</v>
      </c>
      <c r="G605" t="s">
        <v>40</v>
      </c>
      <c r="H605" s="2">
        <v>44374</v>
      </c>
      <c r="I605">
        <v>48510</v>
      </c>
      <c r="J605">
        <v>0</v>
      </c>
      <c r="K605">
        <v>48510</v>
      </c>
      <c r="L605" s="1" t="s">
        <v>23</v>
      </c>
      <c r="M605" s="1" t="s">
        <v>37</v>
      </c>
      <c r="N605" s="2"/>
      <c r="O605">
        <v>604</v>
      </c>
      <c r="P605">
        <v>0</v>
      </c>
      <c r="Q605" t="s">
        <v>25</v>
      </c>
      <c r="R605">
        <f ca="1">DATEDIF(EMP_RAW_Data[[#This Row],[Hire Date]],IF(EMP_RAW_Data[[#This Row],[Exit Date]]="",TODAY(),EMP_RAW_Data[[#This Row],[Exit Date]]),"Y")</f>
        <v>4</v>
      </c>
      <c r="S605" t="str">
        <f>IF(EMP_RAW_Data[[#This Row],[Status]]=1,"Inactive","Active")</f>
        <v>Active</v>
      </c>
    </row>
    <row r="606" spans="1:19" x14ac:dyDescent="0.3">
      <c r="A606" s="1" t="s">
        <v>689</v>
      </c>
      <c r="B606" s="1" t="s">
        <v>86</v>
      </c>
      <c r="C606" s="1" t="s">
        <v>62</v>
      </c>
      <c r="D606" s="1" t="s">
        <v>35</v>
      </c>
      <c r="E606" s="1" t="s">
        <v>29</v>
      </c>
      <c r="F606">
        <v>27</v>
      </c>
      <c r="G606" t="s">
        <v>40</v>
      </c>
      <c r="H606" s="2">
        <v>43613</v>
      </c>
      <c r="I606">
        <v>70110</v>
      </c>
      <c r="J606">
        <v>0</v>
      </c>
      <c r="K606">
        <v>70110</v>
      </c>
      <c r="L606" s="1" t="s">
        <v>23</v>
      </c>
      <c r="M606" s="1" t="s">
        <v>52</v>
      </c>
      <c r="N606" s="2">
        <v>44203</v>
      </c>
      <c r="O606">
        <v>605</v>
      </c>
      <c r="P606">
        <v>1</v>
      </c>
      <c r="Q606" t="s">
        <v>25</v>
      </c>
      <c r="R606">
        <f ca="1">DATEDIF(EMP_RAW_Data[[#This Row],[Hire Date]],IF(EMP_RAW_Data[[#This Row],[Exit Date]]="",TODAY(),EMP_RAW_Data[[#This Row],[Exit Date]]),"Y")</f>
        <v>1</v>
      </c>
      <c r="S606" t="str">
        <f>IF(EMP_RAW_Data[[#This Row],[Status]]=1,"Inactive","Active")</f>
        <v>Inactive</v>
      </c>
    </row>
    <row r="607" spans="1:19" hidden="1" x14ac:dyDescent="0.3">
      <c r="A607" s="1" t="s">
        <v>690</v>
      </c>
      <c r="B607" s="1" t="s">
        <v>33</v>
      </c>
      <c r="C607" s="1" t="s">
        <v>69</v>
      </c>
      <c r="D607" s="1" t="s">
        <v>47</v>
      </c>
      <c r="E607" s="1" t="s">
        <v>29</v>
      </c>
      <c r="F607">
        <v>45</v>
      </c>
      <c r="G607" t="s">
        <v>36</v>
      </c>
      <c r="H607" s="2">
        <v>39519</v>
      </c>
      <c r="I607">
        <v>186138</v>
      </c>
      <c r="J607">
        <v>0.28000000000000003</v>
      </c>
      <c r="K607">
        <v>238256.64000000001</v>
      </c>
      <c r="L607" s="1" t="s">
        <v>30</v>
      </c>
      <c r="M607" s="1" t="s">
        <v>31</v>
      </c>
      <c r="N607" s="2"/>
      <c r="O607">
        <v>606</v>
      </c>
      <c r="P607">
        <v>0</v>
      </c>
      <c r="Q607" t="s">
        <v>25</v>
      </c>
      <c r="R607">
        <f ca="1">DATEDIF(EMP_RAW_Data[[#This Row],[Hire Date]],IF(EMP_RAW_Data[[#This Row],[Exit Date]]="",TODAY(),EMP_RAW_Data[[#This Row],[Exit Date]]),"Y")</f>
        <v>18</v>
      </c>
      <c r="S607" t="str">
        <f>IF(EMP_RAW_Data[[#This Row],[Status]]=1,"Inactive","Active")</f>
        <v>Active</v>
      </c>
    </row>
    <row r="608" spans="1:19" hidden="1" x14ac:dyDescent="0.3">
      <c r="A608" s="1" t="s">
        <v>691</v>
      </c>
      <c r="B608" s="1" t="s">
        <v>51</v>
      </c>
      <c r="C608" s="1" t="s">
        <v>54</v>
      </c>
      <c r="D608" s="1" t="s">
        <v>28</v>
      </c>
      <c r="E608" s="1" t="s">
        <v>29</v>
      </c>
      <c r="F608">
        <v>58</v>
      </c>
      <c r="G608" t="s">
        <v>22</v>
      </c>
      <c r="H608" s="2">
        <v>40287</v>
      </c>
      <c r="I608">
        <v>56350</v>
      </c>
      <c r="J608">
        <v>0</v>
      </c>
      <c r="K608">
        <v>56350</v>
      </c>
      <c r="L608" s="1" t="s">
        <v>77</v>
      </c>
      <c r="M608" s="1" t="s">
        <v>81</v>
      </c>
      <c r="N608" s="2"/>
      <c r="O608">
        <v>607</v>
      </c>
      <c r="P608">
        <v>0</v>
      </c>
      <c r="Q608" t="s">
        <v>25</v>
      </c>
      <c r="R608">
        <f ca="1">DATEDIF(EMP_RAW_Data[[#This Row],[Hire Date]],IF(EMP_RAW_Data[[#This Row],[Exit Date]]="",TODAY(),EMP_RAW_Data[[#This Row],[Exit Date]]),"Y")</f>
        <v>15</v>
      </c>
      <c r="S608" t="str">
        <f>IF(EMP_RAW_Data[[#This Row],[Status]]=1,"Inactive","Active")</f>
        <v>Active</v>
      </c>
    </row>
    <row r="609" spans="1:19" hidden="1" x14ac:dyDescent="0.3">
      <c r="A609" s="1" t="s">
        <v>692</v>
      </c>
      <c r="B609" s="1" t="s">
        <v>18</v>
      </c>
      <c r="C609" s="1" t="s">
        <v>34</v>
      </c>
      <c r="D609" s="1" t="s">
        <v>20</v>
      </c>
      <c r="E609" s="1" t="s">
        <v>21</v>
      </c>
      <c r="F609">
        <v>45</v>
      </c>
      <c r="G609" t="s">
        <v>36</v>
      </c>
      <c r="H609" s="2">
        <v>42379</v>
      </c>
      <c r="I609">
        <v>149761</v>
      </c>
      <c r="J609">
        <v>0.12</v>
      </c>
      <c r="K609">
        <v>167732.32</v>
      </c>
      <c r="L609" s="1" t="s">
        <v>23</v>
      </c>
      <c r="M609" s="1" t="s">
        <v>74</v>
      </c>
      <c r="N609" s="2"/>
      <c r="O609">
        <v>608</v>
      </c>
      <c r="P609">
        <v>0</v>
      </c>
      <c r="Q609" t="s">
        <v>25</v>
      </c>
      <c r="R609">
        <f ca="1">DATEDIF(EMP_RAW_Data[[#This Row],[Hire Date]],IF(EMP_RAW_Data[[#This Row],[Exit Date]]="",TODAY(),EMP_RAW_Data[[#This Row],[Exit Date]]),"Y")</f>
        <v>10</v>
      </c>
      <c r="S609" t="str">
        <f>IF(EMP_RAW_Data[[#This Row],[Status]]=1,"Inactive","Active")</f>
        <v>Active</v>
      </c>
    </row>
    <row r="610" spans="1:19" hidden="1" x14ac:dyDescent="0.3">
      <c r="A610" s="1" t="s">
        <v>693</v>
      </c>
      <c r="B610" s="1" t="s">
        <v>18</v>
      </c>
      <c r="C610" s="1" t="s">
        <v>34</v>
      </c>
      <c r="D610" s="1" t="s">
        <v>47</v>
      </c>
      <c r="E610" s="1" t="s">
        <v>29</v>
      </c>
      <c r="F610">
        <v>44</v>
      </c>
      <c r="G610" t="s">
        <v>59</v>
      </c>
      <c r="H610" s="2">
        <v>39305</v>
      </c>
      <c r="I610">
        <v>126277</v>
      </c>
      <c r="J610">
        <v>0.13</v>
      </c>
      <c r="K610">
        <v>142693.01</v>
      </c>
      <c r="L610" s="1" t="s">
        <v>77</v>
      </c>
      <c r="M610" s="1" t="s">
        <v>78</v>
      </c>
      <c r="N610" s="2"/>
      <c r="O610">
        <v>609</v>
      </c>
      <c r="P610">
        <v>0</v>
      </c>
      <c r="Q610" t="s">
        <v>25</v>
      </c>
      <c r="R610">
        <f ca="1">DATEDIF(EMP_RAW_Data[[#This Row],[Hire Date]],IF(EMP_RAW_Data[[#This Row],[Exit Date]]="",TODAY(),EMP_RAW_Data[[#This Row],[Exit Date]]),"Y")</f>
        <v>18</v>
      </c>
      <c r="S610" t="str">
        <f>IF(EMP_RAW_Data[[#This Row],[Status]]=1,"Inactive","Active")</f>
        <v>Active</v>
      </c>
    </row>
    <row r="611" spans="1:19" hidden="1" x14ac:dyDescent="0.3">
      <c r="A611" s="1" t="s">
        <v>694</v>
      </c>
      <c r="B611" s="1" t="s">
        <v>49</v>
      </c>
      <c r="C611" s="1" t="s">
        <v>46</v>
      </c>
      <c r="D611" s="1" t="s">
        <v>35</v>
      </c>
      <c r="E611" s="1" t="s">
        <v>29</v>
      </c>
      <c r="F611">
        <v>33</v>
      </c>
      <c r="G611" t="s">
        <v>40</v>
      </c>
      <c r="H611" s="2">
        <v>41446</v>
      </c>
      <c r="I611">
        <v>119631</v>
      </c>
      <c r="J611">
        <v>0.06</v>
      </c>
      <c r="K611">
        <v>126808.86</v>
      </c>
      <c r="L611" s="1" t="s">
        <v>23</v>
      </c>
      <c r="M611" s="1" t="s">
        <v>43</v>
      </c>
      <c r="N611" s="2"/>
      <c r="O611">
        <v>610</v>
      </c>
      <c r="P611">
        <v>0</v>
      </c>
      <c r="Q611" t="s">
        <v>25</v>
      </c>
      <c r="R611">
        <f ca="1">DATEDIF(EMP_RAW_Data[[#This Row],[Hire Date]],IF(EMP_RAW_Data[[#This Row],[Exit Date]]="",TODAY(),EMP_RAW_Data[[#This Row],[Exit Date]]),"Y")</f>
        <v>12</v>
      </c>
      <c r="S611" t="str">
        <f>IF(EMP_RAW_Data[[#This Row],[Status]]=1,"Inactive","Active")</f>
        <v>Active</v>
      </c>
    </row>
    <row r="612" spans="1:19" hidden="1" x14ac:dyDescent="0.3">
      <c r="A612" s="1" t="s">
        <v>695</v>
      </c>
      <c r="B612" s="1" t="s">
        <v>68</v>
      </c>
      <c r="C612" s="1" t="s">
        <v>19</v>
      </c>
      <c r="D612" s="1" t="s">
        <v>20</v>
      </c>
      <c r="E612" s="1" t="s">
        <v>29</v>
      </c>
      <c r="F612">
        <v>26</v>
      </c>
      <c r="G612" t="s">
        <v>40</v>
      </c>
      <c r="H612" s="2">
        <v>43960</v>
      </c>
      <c r="I612">
        <v>256561</v>
      </c>
      <c r="J612">
        <v>0.39</v>
      </c>
      <c r="K612">
        <v>356619.79000000004</v>
      </c>
      <c r="L612" s="1" t="s">
        <v>23</v>
      </c>
      <c r="M612" s="1" t="s">
        <v>55</v>
      </c>
      <c r="N612" s="2"/>
      <c r="O612">
        <v>611</v>
      </c>
      <c r="P612">
        <v>0</v>
      </c>
      <c r="Q612" t="s">
        <v>25</v>
      </c>
      <c r="R612">
        <f ca="1">DATEDIF(EMP_RAW_Data[[#This Row],[Hire Date]],IF(EMP_RAW_Data[[#This Row],[Exit Date]]="",TODAY(),EMP_RAW_Data[[#This Row],[Exit Date]]),"Y")</f>
        <v>5</v>
      </c>
      <c r="S612" t="str">
        <f>IF(EMP_RAW_Data[[#This Row],[Status]]=1,"Inactive","Active")</f>
        <v>Active</v>
      </c>
    </row>
    <row r="613" spans="1:19" hidden="1" x14ac:dyDescent="0.3">
      <c r="A613" s="1" t="s">
        <v>696</v>
      </c>
      <c r="B613" s="1" t="s">
        <v>230</v>
      </c>
      <c r="C613" s="1" t="s">
        <v>19</v>
      </c>
      <c r="D613" s="1" t="s">
        <v>35</v>
      </c>
      <c r="E613" s="1" t="s">
        <v>21</v>
      </c>
      <c r="F613">
        <v>45</v>
      </c>
      <c r="G613" t="s">
        <v>36</v>
      </c>
      <c r="H613" s="2">
        <v>43937</v>
      </c>
      <c r="I613">
        <v>66958</v>
      </c>
      <c r="J613">
        <v>0</v>
      </c>
      <c r="K613">
        <v>66958</v>
      </c>
      <c r="L613" s="1" t="s">
        <v>23</v>
      </c>
      <c r="M613" s="1" t="s">
        <v>52</v>
      </c>
      <c r="N613" s="2"/>
      <c r="O613">
        <v>612</v>
      </c>
      <c r="P613">
        <v>0</v>
      </c>
      <c r="Q613" t="s">
        <v>25</v>
      </c>
      <c r="R613">
        <f ca="1">DATEDIF(EMP_RAW_Data[[#This Row],[Hire Date]],IF(EMP_RAW_Data[[#This Row],[Exit Date]]="",TODAY(),EMP_RAW_Data[[#This Row],[Exit Date]]),"Y")</f>
        <v>5</v>
      </c>
      <c r="S613" t="str">
        <f>IF(EMP_RAW_Data[[#This Row],[Status]]=1,"Inactive","Active")</f>
        <v>Active</v>
      </c>
    </row>
    <row r="614" spans="1:19" hidden="1" x14ac:dyDescent="0.3">
      <c r="A614" s="1" t="s">
        <v>697</v>
      </c>
      <c r="B614" s="1" t="s">
        <v>18</v>
      </c>
      <c r="C614" s="1" t="s">
        <v>46</v>
      </c>
      <c r="D614" s="1" t="s">
        <v>28</v>
      </c>
      <c r="E614" s="1" t="s">
        <v>21</v>
      </c>
      <c r="F614">
        <v>46</v>
      </c>
      <c r="G614" t="s">
        <v>36</v>
      </c>
      <c r="H614" s="2">
        <v>38046</v>
      </c>
      <c r="I614">
        <v>158897</v>
      </c>
      <c r="J614">
        <v>0.1</v>
      </c>
      <c r="K614">
        <v>174786.7</v>
      </c>
      <c r="L614" s="1" t="s">
        <v>30</v>
      </c>
      <c r="M614" s="1" t="s">
        <v>31</v>
      </c>
      <c r="N614" s="2"/>
      <c r="O614">
        <v>613</v>
      </c>
      <c r="P614">
        <v>0</v>
      </c>
      <c r="Q614" t="s">
        <v>25</v>
      </c>
      <c r="R614">
        <f ca="1">DATEDIF(EMP_RAW_Data[[#This Row],[Hire Date]],IF(EMP_RAW_Data[[#This Row],[Exit Date]]="",TODAY(),EMP_RAW_Data[[#This Row],[Exit Date]]),"Y")</f>
        <v>22</v>
      </c>
      <c r="S614" t="str">
        <f>IF(EMP_RAW_Data[[#This Row],[Status]]=1,"Inactive","Active")</f>
        <v>Active</v>
      </c>
    </row>
    <row r="615" spans="1:19" hidden="1" x14ac:dyDescent="0.3">
      <c r="A615" s="1" t="s">
        <v>698</v>
      </c>
      <c r="B615" s="1" t="s">
        <v>27</v>
      </c>
      <c r="C615" s="1" t="s">
        <v>19</v>
      </c>
      <c r="D615" s="1" t="s">
        <v>47</v>
      </c>
      <c r="E615" s="1" t="s">
        <v>29</v>
      </c>
      <c r="F615">
        <v>37</v>
      </c>
      <c r="G615" t="s">
        <v>59</v>
      </c>
      <c r="H615" s="2">
        <v>39493</v>
      </c>
      <c r="I615">
        <v>71695</v>
      </c>
      <c r="J615">
        <v>0</v>
      </c>
      <c r="K615">
        <v>71695</v>
      </c>
      <c r="L615" s="1" t="s">
        <v>23</v>
      </c>
      <c r="M615" s="1" t="s">
        <v>43</v>
      </c>
      <c r="N615" s="2"/>
      <c r="O615">
        <v>614</v>
      </c>
      <c r="P615">
        <v>0</v>
      </c>
      <c r="Q615" t="s">
        <v>25</v>
      </c>
      <c r="R615">
        <f ca="1">DATEDIF(EMP_RAW_Data[[#This Row],[Hire Date]],IF(EMP_RAW_Data[[#This Row],[Exit Date]]="",TODAY(),EMP_RAW_Data[[#This Row],[Exit Date]]),"Y")</f>
        <v>18</v>
      </c>
      <c r="S615" t="str">
        <f>IF(EMP_RAW_Data[[#This Row],[Status]]=1,"Inactive","Active")</f>
        <v>Active</v>
      </c>
    </row>
    <row r="616" spans="1:19" x14ac:dyDescent="0.3">
      <c r="A616" s="1" t="s">
        <v>699</v>
      </c>
      <c r="B616" s="1" t="s">
        <v>42</v>
      </c>
      <c r="C616" s="1" t="s">
        <v>69</v>
      </c>
      <c r="D616" s="1" t="s">
        <v>47</v>
      </c>
      <c r="E616" s="1" t="s">
        <v>29</v>
      </c>
      <c r="F616">
        <v>40</v>
      </c>
      <c r="G616" t="s">
        <v>59</v>
      </c>
      <c r="H616" s="2">
        <v>41904</v>
      </c>
      <c r="I616">
        <v>73779</v>
      </c>
      <c r="J616">
        <v>0</v>
      </c>
      <c r="K616">
        <v>73779</v>
      </c>
      <c r="L616" s="1" t="s">
        <v>30</v>
      </c>
      <c r="M616" s="1" t="s">
        <v>31</v>
      </c>
      <c r="N616" s="2">
        <v>43594</v>
      </c>
      <c r="O616">
        <v>615</v>
      </c>
      <c r="P616">
        <v>1</v>
      </c>
      <c r="Q616" t="s">
        <v>25</v>
      </c>
      <c r="R616">
        <f ca="1">DATEDIF(EMP_RAW_Data[[#This Row],[Hire Date]],IF(EMP_RAW_Data[[#This Row],[Exit Date]]="",TODAY(),EMP_RAW_Data[[#This Row],[Exit Date]]),"Y")</f>
        <v>4</v>
      </c>
      <c r="S616" t="str">
        <f>IF(EMP_RAW_Data[[#This Row],[Status]]=1,"Inactive","Active")</f>
        <v>Inactive</v>
      </c>
    </row>
    <row r="617" spans="1:19" hidden="1" x14ac:dyDescent="0.3">
      <c r="A617" s="1" t="s">
        <v>700</v>
      </c>
      <c r="B617" s="1" t="s">
        <v>49</v>
      </c>
      <c r="C617" s="1" t="s">
        <v>46</v>
      </c>
      <c r="D617" s="1" t="s">
        <v>35</v>
      </c>
      <c r="E617" s="1" t="s">
        <v>21</v>
      </c>
      <c r="F617">
        <v>45</v>
      </c>
      <c r="G617" t="s">
        <v>36</v>
      </c>
      <c r="H617" s="2">
        <v>40836</v>
      </c>
      <c r="I617">
        <v>123640</v>
      </c>
      <c r="J617">
        <v>7.0000000000000007E-2</v>
      </c>
      <c r="K617">
        <v>132294.79999999999</v>
      </c>
      <c r="L617" s="1" t="s">
        <v>30</v>
      </c>
      <c r="M617" s="1" t="s">
        <v>65</v>
      </c>
      <c r="N617" s="2"/>
      <c r="O617">
        <v>616</v>
      </c>
      <c r="P617">
        <v>0</v>
      </c>
      <c r="Q617" t="s">
        <v>25</v>
      </c>
      <c r="R617">
        <f ca="1">DATEDIF(EMP_RAW_Data[[#This Row],[Hire Date]],IF(EMP_RAW_Data[[#This Row],[Exit Date]]="",TODAY(),EMP_RAW_Data[[#This Row],[Exit Date]]),"Y")</f>
        <v>14</v>
      </c>
      <c r="S617" t="str">
        <f>IF(EMP_RAW_Data[[#This Row],[Status]]=1,"Inactive","Active")</f>
        <v>Active</v>
      </c>
    </row>
    <row r="618" spans="1:19" hidden="1" x14ac:dyDescent="0.3">
      <c r="A618" s="1" t="s">
        <v>701</v>
      </c>
      <c r="B618" s="1" t="s">
        <v>51</v>
      </c>
      <c r="C618" s="1" t="s">
        <v>46</v>
      </c>
      <c r="D618" s="1" t="s">
        <v>35</v>
      </c>
      <c r="E618" s="1" t="s">
        <v>21</v>
      </c>
      <c r="F618">
        <v>33</v>
      </c>
      <c r="G618" t="s">
        <v>40</v>
      </c>
      <c r="H618" s="2">
        <v>41742</v>
      </c>
      <c r="I618">
        <v>46878</v>
      </c>
      <c r="J618">
        <v>0</v>
      </c>
      <c r="K618">
        <v>46878</v>
      </c>
      <c r="L618" s="1" t="s">
        <v>23</v>
      </c>
      <c r="M618" s="1" t="s">
        <v>52</v>
      </c>
      <c r="N618" s="2"/>
      <c r="O618">
        <v>617</v>
      </c>
      <c r="P618">
        <v>0</v>
      </c>
      <c r="Q618" t="s">
        <v>25</v>
      </c>
      <c r="R618">
        <f ca="1">DATEDIF(EMP_RAW_Data[[#This Row],[Hire Date]],IF(EMP_RAW_Data[[#This Row],[Exit Date]]="",TODAY(),EMP_RAW_Data[[#This Row],[Exit Date]]),"Y")</f>
        <v>11</v>
      </c>
      <c r="S618" t="str">
        <f>IF(EMP_RAW_Data[[#This Row],[Status]]=1,"Inactive","Active")</f>
        <v>Active</v>
      </c>
    </row>
    <row r="619" spans="1:19" hidden="1" x14ac:dyDescent="0.3">
      <c r="A619" s="1" t="s">
        <v>702</v>
      </c>
      <c r="B619" s="1" t="s">
        <v>51</v>
      </c>
      <c r="C619" s="1" t="s">
        <v>69</v>
      </c>
      <c r="D619" s="1" t="s">
        <v>35</v>
      </c>
      <c r="E619" s="1" t="s">
        <v>21</v>
      </c>
      <c r="F619">
        <v>64</v>
      </c>
      <c r="G619" t="s">
        <v>22</v>
      </c>
      <c r="H619" s="2">
        <v>37662</v>
      </c>
      <c r="I619">
        <v>57032</v>
      </c>
      <c r="J619">
        <v>0</v>
      </c>
      <c r="K619">
        <v>57032</v>
      </c>
      <c r="L619" s="1" t="s">
        <v>23</v>
      </c>
      <c r="M619" s="1" t="s">
        <v>52</v>
      </c>
      <c r="N619" s="2"/>
      <c r="O619">
        <v>618</v>
      </c>
      <c r="P619">
        <v>0</v>
      </c>
      <c r="Q619" t="s">
        <v>25</v>
      </c>
      <c r="R619">
        <f ca="1">DATEDIF(EMP_RAW_Data[[#This Row],[Hire Date]],IF(EMP_RAW_Data[[#This Row],[Exit Date]]="",TODAY(),EMP_RAW_Data[[#This Row],[Exit Date]]),"Y")</f>
        <v>23</v>
      </c>
      <c r="S619" t="str">
        <f>IF(EMP_RAW_Data[[#This Row],[Status]]=1,"Inactive","Active")</f>
        <v>Active</v>
      </c>
    </row>
    <row r="620" spans="1:19" hidden="1" x14ac:dyDescent="0.3">
      <c r="A620" s="1" t="s">
        <v>703</v>
      </c>
      <c r="B620" s="1" t="s">
        <v>42</v>
      </c>
      <c r="C620" s="1" t="s">
        <v>46</v>
      </c>
      <c r="D620" s="1" t="s">
        <v>28</v>
      </c>
      <c r="E620" s="1" t="s">
        <v>21</v>
      </c>
      <c r="F620">
        <v>57</v>
      </c>
      <c r="G620" t="s">
        <v>22</v>
      </c>
      <c r="H620" s="2">
        <v>39357</v>
      </c>
      <c r="I620">
        <v>98150</v>
      </c>
      <c r="J620">
        <v>0</v>
      </c>
      <c r="K620">
        <v>98150</v>
      </c>
      <c r="L620" s="1" t="s">
        <v>77</v>
      </c>
      <c r="M620" s="1" t="s">
        <v>81</v>
      </c>
      <c r="N620" s="2"/>
      <c r="O620">
        <v>619</v>
      </c>
      <c r="P620">
        <v>0</v>
      </c>
      <c r="Q620" t="s">
        <v>25</v>
      </c>
      <c r="R620">
        <f ca="1">DATEDIF(EMP_RAW_Data[[#This Row],[Hire Date]],IF(EMP_RAW_Data[[#This Row],[Exit Date]]="",TODAY(),EMP_RAW_Data[[#This Row],[Exit Date]]),"Y")</f>
        <v>18</v>
      </c>
      <c r="S620" t="str">
        <f>IF(EMP_RAW_Data[[#This Row],[Status]]=1,"Inactive","Active")</f>
        <v>Active</v>
      </c>
    </row>
    <row r="621" spans="1:19" x14ac:dyDescent="0.3">
      <c r="A621" s="1" t="s">
        <v>704</v>
      </c>
      <c r="B621" s="1" t="s">
        <v>33</v>
      </c>
      <c r="C621" s="1" t="s">
        <v>69</v>
      </c>
      <c r="D621" s="1" t="s">
        <v>28</v>
      </c>
      <c r="E621" s="1" t="s">
        <v>21</v>
      </c>
      <c r="F621">
        <v>35</v>
      </c>
      <c r="G621" t="s">
        <v>59</v>
      </c>
      <c r="H621" s="2">
        <v>42800</v>
      </c>
      <c r="I621">
        <v>171426</v>
      </c>
      <c r="J621">
        <v>0.15</v>
      </c>
      <c r="K621">
        <v>197139.9</v>
      </c>
      <c r="L621" s="1" t="s">
        <v>30</v>
      </c>
      <c r="M621" s="1" t="s">
        <v>90</v>
      </c>
      <c r="N621" s="2">
        <v>43000</v>
      </c>
      <c r="O621">
        <v>620</v>
      </c>
      <c r="P621">
        <v>1</v>
      </c>
      <c r="Q621" t="s">
        <v>25</v>
      </c>
      <c r="R621">
        <f ca="1">DATEDIF(EMP_RAW_Data[[#This Row],[Hire Date]],IF(EMP_RAW_Data[[#This Row],[Exit Date]]="",TODAY(),EMP_RAW_Data[[#This Row],[Exit Date]]),"Y")</f>
        <v>0</v>
      </c>
      <c r="S621" t="str">
        <f>IF(EMP_RAW_Data[[#This Row],[Status]]=1,"Inactive","Active")</f>
        <v>Inactive</v>
      </c>
    </row>
    <row r="622" spans="1:19" hidden="1" x14ac:dyDescent="0.3">
      <c r="A622" s="1" t="s">
        <v>705</v>
      </c>
      <c r="B622" s="1" t="s">
        <v>51</v>
      </c>
      <c r="C622" s="1" t="s">
        <v>34</v>
      </c>
      <c r="D622" s="1" t="s">
        <v>28</v>
      </c>
      <c r="E622" s="1" t="s">
        <v>21</v>
      </c>
      <c r="F622">
        <v>55</v>
      </c>
      <c r="G622" t="s">
        <v>22</v>
      </c>
      <c r="H622" s="2">
        <v>44302</v>
      </c>
      <c r="I622">
        <v>48266</v>
      </c>
      <c r="J622">
        <v>0</v>
      </c>
      <c r="K622">
        <v>48266</v>
      </c>
      <c r="L622" s="1" t="s">
        <v>23</v>
      </c>
      <c r="M622" s="1" t="s">
        <v>37</v>
      </c>
      <c r="N622" s="2"/>
      <c r="O622">
        <v>621</v>
      </c>
      <c r="P622">
        <v>0</v>
      </c>
      <c r="Q622" t="s">
        <v>25</v>
      </c>
      <c r="R622">
        <f ca="1">DATEDIF(EMP_RAW_Data[[#This Row],[Hire Date]],IF(EMP_RAW_Data[[#This Row],[Exit Date]]="",TODAY(),EMP_RAW_Data[[#This Row],[Exit Date]]),"Y")</f>
        <v>4</v>
      </c>
      <c r="S622" t="str">
        <f>IF(EMP_RAW_Data[[#This Row],[Status]]=1,"Inactive","Active")</f>
        <v>Active</v>
      </c>
    </row>
    <row r="623" spans="1:19" hidden="1" x14ac:dyDescent="0.3">
      <c r="A623" s="1" t="s">
        <v>706</v>
      </c>
      <c r="B623" s="1" t="s">
        <v>68</v>
      </c>
      <c r="C623" s="1" t="s">
        <v>34</v>
      </c>
      <c r="D623" s="1" t="s">
        <v>20</v>
      </c>
      <c r="E623" s="1" t="s">
        <v>29</v>
      </c>
      <c r="F623">
        <v>36</v>
      </c>
      <c r="G623" t="s">
        <v>59</v>
      </c>
      <c r="H623" s="2">
        <v>43330</v>
      </c>
      <c r="I623">
        <v>223404</v>
      </c>
      <c r="J623">
        <v>0.32</v>
      </c>
      <c r="K623">
        <v>294893.28000000003</v>
      </c>
      <c r="L623" s="1" t="s">
        <v>23</v>
      </c>
      <c r="M623" s="1" t="s">
        <v>74</v>
      </c>
      <c r="N623" s="2"/>
      <c r="O623">
        <v>622</v>
      </c>
      <c r="P623">
        <v>0</v>
      </c>
      <c r="Q623" t="s">
        <v>25</v>
      </c>
      <c r="R623">
        <f ca="1">DATEDIF(EMP_RAW_Data[[#This Row],[Hire Date]],IF(EMP_RAW_Data[[#This Row],[Exit Date]]="",TODAY(),EMP_RAW_Data[[#This Row],[Exit Date]]),"Y")</f>
        <v>7</v>
      </c>
      <c r="S623" t="str">
        <f>IF(EMP_RAW_Data[[#This Row],[Status]]=1,"Inactive","Active")</f>
        <v>Active</v>
      </c>
    </row>
    <row r="624" spans="1:19" hidden="1" x14ac:dyDescent="0.3">
      <c r="A624" s="1" t="s">
        <v>707</v>
      </c>
      <c r="B624" s="1" t="s">
        <v>192</v>
      </c>
      <c r="C624" s="1" t="s">
        <v>19</v>
      </c>
      <c r="D624" s="1" t="s">
        <v>35</v>
      </c>
      <c r="E624" s="1" t="s">
        <v>21</v>
      </c>
      <c r="F624">
        <v>57</v>
      </c>
      <c r="G624" t="s">
        <v>22</v>
      </c>
      <c r="H624" s="2">
        <v>41649</v>
      </c>
      <c r="I624">
        <v>74854</v>
      </c>
      <c r="J624">
        <v>0</v>
      </c>
      <c r="K624">
        <v>74854</v>
      </c>
      <c r="L624" s="1" t="s">
        <v>23</v>
      </c>
      <c r="M624" s="1" t="s">
        <v>24</v>
      </c>
      <c r="N624" s="2"/>
      <c r="O624">
        <v>623</v>
      </c>
      <c r="P624">
        <v>0</v>
      </c>
      <c r="Q624" t="s">
        <v>25</v>
      </c>
      <c r="R624">
        <f ca="1">DATEDIF(EMP_RAW_Data[[#This Row],[Hire Date]],IF(EMP_RAW_Data[[#This Row],[Exit Date]]="",TODAY(),EMP_RAW_Data[[#This Row],[Exit Date]]),"Y")</f>
        <v>12</v>
      </c>
      <c r="S624" t="str">
        <f>IF(EMP_RAW_Data[[#This Row],[Status]]=1,"Inactive","Active")</f>
        <v>Active</v>
      </c>
    </row>
    <row r="625" spans="1:19" hidden="1" x14ac:dyDescent="0.3">
      <c r="A625" s="1" t="s">
        <v>708</v>
      </c>
      <c r="B625" s="1" t="s">
        <v>68</v>
      </c>
      <c r="C625" s="1" t="s">
        <v>54</v>
      </c>
      <c r="D625" s="1" t="s">
        <v>35</v>
      </c>
      <c r="E625" s="1" t="s">
        <v>21</v>
      </c>
      <c r="F625">
        <v>48</v>
      </c>
      <c r="G625" t="s">
        <v>36</v>
      </c>
      <c r="H625" s="2">
        <v>39197</v>
      </c>
      <c r="I625">
        <v>217783</v>
      </c>
      <c r="J625">
        <v>0.36</v>
      </c>
      <c r="K625">
        <v>296184.88</v>
      </c>
      <c r="L625" s="1" t="s">
        <v>23</v>
      </c>
      <c r="M625" s="1" t="s">
        <v>24</v>
      </c>
      <c r="N625" s="2"/>
      <c r="O625">
        <v>624</v>
      </c>
      <c r="P625">
        <v>0</v>
      </c>
      <c r="Q625" t="s">
        <v>25</v>
      </c>
      <c r="R625">
        <f ca="1">DATEDIF(EMP_RAW_Data[[#This Row],[Hire Date]],IF(EMP_RAW_Data[[#This Row],[Exit Date]]="",TODAY(),EMP_RAW_Data[[#This Row],[Exit Date]]),"Y")</f>
        <v>18</v>
      </c>
      <c r="S625" t="str">
        <f>IF(EMP_RAW_Data[[#This Row],[Status]]=1,"Inactive","Active")</f>
        <v>Active</v>
      </c>
    </row>
    <row r="626" spans="1:19" hidden="1" x14ac:dyDescent="0.3">
      <c r="A626" s="1" t="s">
        <v>709</v>
      </c>
      <c r="B626" s="1" t="s">
        <v>208</v>
      </c>
      <c r="C626" s="1" t="s">
        <v>19</v>
      </c>
      <c r="D626" s="1" t="s">
        <v>28</v>
      </c>
      <c r="E626" s="1" t="s">
        <v>21</v>
      </c>
      <c r="F626">
        <v>53</v>
      </c>
      <c r="G626" t="s">
        <v>36</v>
      </c>
      <c r="H626" s="2">
        <v>38214</v>
      </c>
      <c r="I626">
        <v>44735</v>
      </c>
      <c r="J626">
        <v>0</v>
      </c>
      <c r="K626">
        <v>44735</v>
      </c>
      <c r="L626" s="1" t="s">
        <v>77</v>
      </c>
      <c r="M626" s="1" t="s">
        <v>78</v>
      </c>
      <c r="N626" s="2"/>
      <c r="O626">
        <v>625</v>
      </c>
      <c r="P626">
        <v>0</v>
      </c>
      <c r="Q626" t="s">
        <v>25</v>
      </c>
      <c r="R626">
        <f ca="1">DATEDIF(EMP_RAW_Data[[#This Row],[Hire Date]],IF(EMP_RAW_Data[[#This Row],[Exit Date]]="",TODAY(),EMP_RAW_Data[[#This Row],[Exit Date]]),"Y")</f>
        <v>21</v>
      </c>
      <c r="S626" t="str">
        <f>IF(EMP_RAW_Data[[#This Row],[Status]]=1,"Inactive","Active")</f>
        <v>Active</v>
      </c>
    </row>
    <row r="627" spans="1:19" hidden="1" x14ac:dyDescent="0.3">
      <c r="A627" s="1" t="s">
        <v>710</v>
      </c>
      <c r="B627" s="1" t="s">
        <v>96</v>
      </c>
      <c r="C627" s="1" t="s">
        <v>34</v>
      </c>
      <c r="D627" s="1" t="s">
        <v>28</v>
      </c>
      <c r="E627" s="1" t="s">
        <v>21</v>
      </c>
      <c r="F627">
        <v>41</v>
      </c>
      <c r="G627" t="s">
        <v>59</v>
      </c>
      <c r="H627" s="2">
        <v>39091</v>
      </c>
      <c r="I627">
        <v>50685</v>
      </c>
      <c r="J627">
        <v>0</v>
      </c>
      <c r="K627">
        <v>50685</v>
      </c>
      <c r="L627" s="1" t="s">
        <v>23</v>
      </c>
      <c r="M627" s="1" t="s">
        <v>74</v>
      </c>
      <c r="N627" s="2"/>
      <c r="O627">
        <v>626</v>
      </c>
      <c r="P627">
        <v>0</v>
      </c>
      <c r="Q627" t="s">
        <v>25</v>
      </c>
      <c r="R627">
        <f ca="1">DATEDIF(EMP_RAW_Data[[#This Row],[Hire Date]],IF(EMP_RAW_Data[[#This Row],[Exit Date]]="",TODAY(),EMP_RAW_Data[[#This Row],[Exit Date]]),"Y")</f>
        <v>19</v>
      </c>
      <c r="S627" t="str">
        <f>IF(EMP_RAW_Data[[#This Row],[Status]]=1,"Inactive","Active")</f>
        <v>Active</v>
      </c>
    </row>
    <row r="628" spans="1:19" hidden="1" x14ac:dyDescent="0.3">
      <c r="A628" s="1" t="s">
        <v>711</v>
      </c>
      <c r="B628" s="1" t="s">
        <v>96</v>
      </c>
      <c r="C628" s="1" t="s">
        <v>46</v>
      </c>
      <c r="D628" s="1" t="s">
        <v>20</v>
      </c>
      <c r="E628" s="1" t="s">
        <v>29</v>
      </c>
      <c r="F628">
        <v>34</v>
      </c>
      <c r="G628" t="s">
        <v>40</v>
      </c>
      <c r="H628" s="2">
        <v>43169</v>
      </c>
      <c r="I628">
        <v>58993</v>
      </c>
      <c r="J628">
        <v>0</v>
      </c>
      <c r="K628">
        <v>58993</v>
      </c>
      <c r="L628" s="1" t="s">
        <v>23</v>
      </c>
      <c r="M628" s="1" t="s">
        <v>55</v>
      </c>
      <c r="N628" s="2"/>
      <c r="O628">
        <v>627</v>
      </c>
      <c r="P628">
        <v>0</v>
      </c>
      <c r="Q628" t="s">
        <v>25</v>
      </c>
      <c r="R628">
        <f ca="1">DATEDIF(EMP_RAW_Data[[#This Row],[Hire Date]],IF(EMP_RAW_Data[[#This Row],[Exit Date]]="",TODAY(),EMP_RAW_Data[[#This Row],[Exit Date]]),"Y")</f>
        <v>8</v>
      </c>
      <c r="S628" t="str">
        <f>IF(EMP_RAW_Data[[#This Row],[Status]]=1,"Inactive","Active")</f>
        <v>Active</v>
      </c>
    </row>
    <row r="629" spans="1:19" x14ac:dyDescent="0.3">
      <c r="A629" s="1" t="s">
        <v>712</v>
      </c>
      <c r="B629" s="1" t="s">
        <v>128</v>
      </c>
      <c r="C629" s="1" t="s">
        <v>62</v>
      </c>
      <c r="D629" s="1" t="s">
        <v>47</v>
      </c>
      <c r="E629" s="1" t="s">
        <v>29</v>
      </c>
      <c r="F629">
        <v>47</v>
      </c>
      <c r="G629" t="s">
        <v>36</v>
      </c>
      <c r="H629" s="2">
        <v>43990</v>
      </c>
      <c r="I629">
        <v>115765</v>
      </c>
      <c r="J629">
        <v>0</v>
      </c>
      <c r="K629">
        <v>115765</v>
      </c>
      <c r="L629" s="1" t="s">
        <v>23</v>
      </c>
      <c r="M629" s="1" t="s">
        <v>52</v>
      </c>
      <c r="N629" s="2">
        <v>44229</v>
      </c>
      <c r="O629">
        <v>628</v>
      </c>
      <c r="P629">
        <v>1</v>
      </c>
      <c r="Q629" t="s">
        <v>25</v>
      </c>
      <c r="R629">
        <f ca="1">DATEDIF(EMP_RAW_Data[[#This Row],[Hire Date]],IF(EMP_RAW_Data[[#This Row],[Exit Date]]="",TODAY(),EMP_RAW_Data[[#This Row],[Exit Date]]),"Y")</f>
        <v>0</v>
      </c>
      <c r="S629" t="str">
        <f>IF(EMP_RAW_Data[[#This Row],[Status]]=1,"Inactive","Active")</f>
        <v>Inactive</v>
      </c>
    </row>
    <row r="630" spans="1:19" hidden="1" x14ac:dyDescent="0.3">
      <c r="A630" s="1" t="s">
        <v>713</v>
      </c>
      <c r="B630" s="1" t="s">
        <v>33</v>
      </c>
      <c r="C630" s="1" t="s">
        <v>54</v>
      </c>
      <c r="D630" s="1" t="s">
        <v>28</v>
      </c>
      <c r="E630" s="1" t="s">
        <v>21</v>
      </c>
      <c r="F630">
        <v>63</v>
      </c>
      <c r="G630" t="s">
        <v>22</v>
      </c>
      <c r="H630" s="2">
        <v>39147</v>
      </c>
      <c r="I630">
        <v>193044</v>
      </c>
      <c r="J630">
        <v>0.15</v>
      </c>
      <c r="K630">
        <v>222000.6</v>
      </c>
      <c r="L630" s="1" t="s">
        <v>23</v>
      </c>
      <c r="M630" s="1" t="s">
        <v>52</v>
      </c>
      <c r="N630" s="2"/>
      <c r="O630">
        <v>629</v>
      </c>
      <c r="P630">
        <v>0</v>
      </c>
      <c r="Q630" t="s">
        <v>25</v>
      </c>
      <c r="R630">
        <f ca="1">DATEDIF(EMP_RAW_Data[[#This Row],[Hire Date]],IF(EMP_RAW_Data[[#This Row],[Exit Date]]="",TODAY(),EMP_RAW_Data[[#This Row],[Exit Date]]),"Y")</f>
        <v>19</v>
      </c>
      <c r="S630" t="str">
        <f>IF(EMP_RAW_Data[[#This Row],[Status]]=1,"Inactive","Active")</f>
        <v>Active</v>
      </c>
    </row>
    <row r="631" spans="1:19" x14ac:dyDescent="0.3">
      <c r="A631" s="1" t="s">
        <v>714</v>
      </c>
      <c r="B631" s="1" t="s">
        <v>51</v>
      </c>
      <c r="C631" s="1" t="s">
        <v>69</v>
      </c>
      <c r="D631" s="1" t="s">
        <v>20</v>
      </c>
      <c r="E631" s="1" t="s">
        <v>21</v>
      </c>
      <c r="F631">
        <v>65</v>
      </c>
      <c r="G631" t="s">
        <v>71</v>
      </c>
      <c r="H631" s="2">
        <v>40711</v>
      </c>
      <c r="I631">
        <v>56686</v>
      </c>
      <c r="J631">
        <v>0</v>
      </c>
      <c r="K631">
        <v>56686</v>
      </c>
      <c r="L631" s="1" t="s">
        <v>23</v>
      </c>
      <c r="M631" s="1" t="s">
        <v>24</v>
      </c>
      <c r="N631" s="2">
        <v>42164</v>
      </c>
      <c r="O631">
        <v>630</v>
      </c>
      <c r="P631">
        <v>1</v>
      </c>
      <c r="Q631" t="s">
        <v>25</v>
      </c>
      <c r="R631">
        <f ca="1">DATEDIF(EMP_RAW_Data[[#This Row],[Hire Date]],IF(EMP_RAW_Data[[#This Row],[Exit Date]]="",TODAY(),EMP_RAW_Data[[#This Row],[Exit Date]]),"Y")</f>
        <v>3</v>
      </c>
      <c r="S631" t="str">
        <f>IF(EMP_RAW_Data[[#This Row],[Status]]=1,"Inactive","Active")</f>
        <v>Inactive</v>
      </c>
    </row>
    <row r="632" spans="1:19" hidden="1" x14ac:dyDescent="0.3">
      <c r="A632" s="1" t="s">
        <v>715</v>
      </c>
      <c r="B632" s="1" t="s">
        <v>18</v>
      </c>
      <c r="C632" s="1" t="s">
        <v>34</v>
      </c>
      <c r="D632" s="1" t="s">
        <v>28</v>
      </c>
      <c r="E632" s="1" t="s">
        <v>21</v>
      </c>
      <c r="F632">
        <v>33</v>
      </c>
      <c r="G632" t="s">
        <v>40</v>
      </c>
      <c r="H632" s="2">
        <v>43763</v>
      </c>
      <c r="I632">
        <v>131652</v>
      </c>
      <c r="J632">
        <v>0.11</v>
      </c>
      <c r="K632">
        <v>146133.72</v>
      </c>
      <c r="L632" s="1" t="s">
        <v>23</v>
      </c>
      <c r="M632" s="1" t="s">
        <v>24</v>
      </c>
      <c r="N632" s="2"/>
      <c r="O632">
        <v>631</v>
      </c>
      <c r="P632">
        <v>0</v>
      </c>
      <c r="Q632" t="s">
        <v>25</v>
      </c>
      <c r="R632">
        <f ca="1">DATEDIF(EMP_RAW_Data[[#This Row],[Hire Date]],IF(EMP_RAW_Data[[#This Row],[Exit Date]]="",TODAY(),EMP_RAW_Data[[#This Row],[Exit Date]]),"Y")</f>
        <v>6</v>
      </c>
      <c r="S632" t="str">
        <f>IF(EMP_RAW_Data[[#This Row],[Status]]=1,"Inactive","Active")</f>
        <v>Active</v>
      </c>
    </row>
    <row r="633" spans="1:19" hidden="1" x14ac:dyDescent="0.3">
      <c r="A633" s="1" t="s">
        <v>716</v>
      </c>
      <c r="B633" s="1" t="s">
        <v>33</v>
      </c>
      <c r="C633" s="1" t="s">
        <v>69</v>
      </c>
      <c r="D633" s="1" t="s">
        <v>28</v>
      </c>
      <c r="E633" s="1" t="s">
        <v>21</v>
      </c>
      <c r="F633">
        <v>45</v>
      </c>
      <c r="G633" t="s">
        <v>36</v>
      </c>
      <c r="H633" s="2">
        <v>39507</v>
      </c>
      <c r="I633">
        <v>150577</v>
      </c>
      <c r="J633">
        <v>0.25</v>
      </c>
      <c r="K633">
        <v>188221.25</v>
      </c>
      <c r="L633" s="1" t="s">
        <v>23</v>
      </c>
      <c r="M633" s="1" t="s">
        <v>52</v>
      </c>
      <c r="N633" s="2"/>
      <c r="O633">
        <v>632</v>
      </c>
      <c r="P633">
        <v>0</v>
      </c>
      <c r="Q633" t="s">
        <v>25</v>
      </c>
      <c r="R633">
        <f ca="1">DATEDIF(EMP_RAW_Data[[#This Row],[Hire Date]],IF(EMP_RAW_Data[[#This Row],[Exit Date]]="",TODAY(),EMP_RAW_Data[[#This Row],[Exit Date]]),"Y")</f>
        <v>18</v>
      </c>
      <c r="S633" t="str">
        <f>IF(EMP_RAW_Data[[#This Row],[Status]]=1,"Inactive","Active")</f>
        <v>Active</v>
      </c>
    </row>
    <row r="634" spans="1:19" hidden="1" x14ac:dyDescent="0.3">
      <c r="A634" s="1" t="s">
        <v>717</v>
      </c>
      <c r="B634" s="1" t="s">
        <v>89</v>
      </c>
      <c r="C634" s="1" t="s">
        <v>62</v>
      </c>
      <c r="D634" s="1" t="s">
        <v>20</v>
      </c>
      <c r="E634" s="1" t="s">
        <v>21</v>
      </c>
      <c r="F634">
        <v>37</v>
      </c>
      <c r="G634" t="s">
        <v>59</v>
      </c>
      <c r="H634" s="2">
        <v>43461</v>
      </c>
      <c r="I634">
        <v>87359</v>
      </c>
      <c r="J634">
        <v>0.11</v>
      </c>
      <c r="K634">
        <v>96968.49</v>
      </c>
      <c r="L634" s="1" t="s">
        <v>77</v>
      </c>
      <c r="M634" s="1" t="s">
        <v>81</v>
      </c>
      <c r="N634" s="2"/>
      <c r="O634">
        <v>633</v>
      </c>
      <c r="P634">
        <v>0</v>
      </c>
      <c r="Q634" t="s">
        <v>25</v>
      </c>
      <c r="R634">
        <f ca="1">DATEDIF(EMP_RAW_Data[[#This Row],[Hire Date]],IF(EMP_RAW_Data[[#This Row],[Exit Date]]="",TODAY(),EMP_RAW_Data[[#This Row],[Exit Date]]),"Y")</f>
        <v>7</v>
      </c>
      <c r="S634" t="str">
        <f>IF(EMP_RAW_Data[[#This Row],[Status]]=1,"Inactive","Active")</f>
        <v>Active</v>
      </c>
    </row>
    <row r="635" spans="1:19" hidden="1" x14ac:dyDescent="0.3">
      <c r="A635" s="1" t="s">
        <v>718</v>
      </c>
      <c r="B635" s="1" t="s">
        <v>96</v>
      </c>
      <c r="C635" s="1" t="s">
        <v>46</v>
      </c>
      <c r="D635" s="1" t="s">
        <v>35</v>
      </c>
      <c r="E635" s="1" t="s">
        <v>21</v>
      </c>
      <c r="F635">
        <v>60</v>
      </c>
      <c r="G635" t="s">
        <v>22</v>
      </c>
      <c r="H635" s="2">
        <v>41647</v>
      </c>
      <c r="I635">
        <v>51877</v>
      </c>
      <c r="J635">
        <v>0</v>
      </c>
      <c r="K635">
        <v>51877</v>
      </c>
      <c r="L635" s="1" t="s">
        <v>30</v>
      </c>
      <c r="M635" s="1" t="s">
        <v>90</v>
      </c>
      <c r="N635" s="2"/>
      <c r="O635">
        <v>634</v>
      </c>
      <c r="P635">
        <v>0</v>
      </c>
      <c r="Q635" t="s">
        <v>25</v>
      </c>
      <c r="R635">
        <f ca="1">DATEDIF(EMP_RAW_Data[[#This Row],[Hire Date]],IF(EMP_RAW_Data[[#This Row],[Exit Date]]="",TODAY(),EMP_RAW_Data[[#This Row],[Exit Date]]),"Y")</f>
        <v>12</v>
      </c>
      <c r="S635" t="str">
        <f>IF(EMP_RAW_Data[[#This Row],[Status]]=1,"Inactive","Active")</f>
        <v>Active</v>
      </c>
    </row>
    <row r="636" spans="1:19" hidden="1" x14ac:dyDescent="0.3">
      <c r="A636" s="1" t="s">
        <v>719</v>
      </c>
      <c r="B636" s="1" t="s">
        <v>230</v>
      </c>
      <c r="C636" s="1" t="s">
        <v>19</v>
      </c>
      <c r="D636" s="1" t="s">
        <v>28</v>
      </c>
      <c r="E636" s="1" t="s">
        <v>29</v>
      </c>
      <c r="F636">
        <v>43</v>
      </c>
      <c r="G636" t="s">
        <v>59</v>
      </c>
      <c r="H636" s="2">
        <v>42753</v>
      </c>
      <c r="I636">
        <v>86417</v>
      </c>
      <c r="J636">
        <v>0</v>
      </c>
      <c r="K636">
        <v>86417</v>
      </c>
      <c r="L636" s="1" t="s">
        <v>23</v>
      </c>
      <c r="M636" s="1" t="s">
        <v>37</v>
      </c>
      <c r="N636" s="2"/>
      <c r="O636">
        <v>635</v>
      </c>
      <c r="P636">
        <v>0</v>
      </c>
      <c r="Q636" t="s">
        <v>25</v>
      </c>
      <c r="R636">
        <f ca="1">DATEDIF(EMP_RAW_Data[[#This Row],[Hire Date]],IF(EMP_RAW_Data[[#This Row],[Exit Date]]="",TODAY(),EMP_RAW_Data[[#This Row],[Exit Date]]),"Y")</f>
        <v>9</v>
      </c>
      <c r="S636" t="str">
        <f>IF(EMP_RAW_Data[[#This Row],[Status]]=1,"Inactive","Active")</f>
        <v>Active</v>
      </c>
    </row>
    <row r="637" spans="1:19" hidden="1" x14ac:dyDescent="0.3">
      <c r="A637" s="1" t="s">
        <v>720</v>
      </c>
      <c r="B637" s="1" t="s">
        <v>192</v>
      </c>
      <c r="C637" s="1" t="s">
        <v>19</v>
      </c>
      <c r="D637" s="1" t="s">
        <v>20</v>
      </c>
      <c r="E637" s="1" t="s">
        <v>21</v>
      </c>
      <c r="F637">
        <v>65</v>
      </c>
      <c r="G637" t="s">
        <v>71</v>
      </c>
      <c r="H637" s="2">
        <v>37749</v>
      </c>
      <c r="I637">
        <v>96548</v>
      </c>
      <c r="J637">
        <v>0</v>
      </c>
      <c r="K637">
        <v>96548</v>
      </c>
      <c r="L637" s="1" t="s">
        <v>23</v>
      </c>
      <c r="M637" s="1" t="s">
        <v>55</v>
      </c>
      <c r="N637" s="2"/>
      <c r="O637">
        <v>636</v>
      </c>
      <c r="P637">
        <v>0</v>
      </c>
      <c r="Q637" t="s">
        <v>25</v>
      </c>
      <c r="R637">
        <f ca="1">DATEDIF(EMP_RAW_Data[[#This Row],[Hire Date]],IF(EMP_RAW_Data[[#This Row],[Exit Date]]="",TODAY(),EMP_RAW_Data[[#This Row],[Exit Date]]),"Y")</f>
        <v>22</v>
      </c>
      <c r="S637" t="str">
        <f>IF(EMP_RAW_Data[[#This Row],[Status]]=1,"Inactive","Active")</f>
        <v>Active</v>
      </c>
    </row>
    <row r="638" spans="1:19" hidden="1" x14ac:dyDescent="0.3">
      <c r="A638" s="1" t="s">
        <v>721</v>
      </c>
      <c r="B638" s="1" t="s">
        <v>42</v>
      </c>
      <c r="C638" s="1" t="s">
        <v>54</v>
      </c>
      <c r="D638" s="1" t="s">
        <v>28</v>
      </c>
      <c r="E638" s="1" t="s">
        <v>21</v>
      </c>
      <c r="F638">
        <v>43</v>
      </c>
      <c r="G638" t="s">
        <v>59</v>
      </c>
      <c r="H638" s="2">
        <v>41662</v>
      </c>
      <c r="I638">
        <v>92940</v>
      </c>
      <c r="J638">
        <v>0</v>
      </c>
      <c r="K638">
        <v>92940</v>
      </c>
      <c r="L638" s="1" t="s">
        <v>30</v>
      </c>
      <c r="M638" s="1" t="s">
        <v>102</v>
      </c>
      <c r="N638" s="2"/>
      <c r="O638">
        <v>637</v>
      </c>
      <c r="P638">
        <v>0</v>
      </c>
      <c r="Q638" t="s">
        <v>25</v>
      </c>
      <c r="R638">
        <f ca="1">DATEDIF(EMP_RAW_Data[[#This Row],[Hire Date]],IF(EMP_RAW_Data[[#This Row],[Exit Date]]="",TODAY(),EMP_RAW_Data[[#This Row],[Exit Date]]),"Y")</f>
        <v>12</v>
      </c>
      <c r="S638" t="str">
        <f>IF(EMP_RAW_Data[[#This Row],[Status]]=1,"Inactive","Active")</f>
        <v>Active</v>
      </c>
    </row>
    <row r="639" spans="1:19" hidden="1" x14ac:dyDescent="0.3">
      <c r="A639" s="1" t="s">
        <v>722</v>
      </c>
      <c r="B639" s="1" t="s">
        <v>96</v>
      </c>
      <c r="C639" s="1" t="s">
        <v>54</v>
      </c>
      <c r="D639" s="1" t="s">
        <v>35</v>
      </c>
      <c r="E639" s="1" t="s">
        <v>29</v>
      </c>
      <c r="F639">
        <v>28</v>
      </c>
      <c r="G639" t="s">
        <v>40</v>
      </c>
      <c r="H639" s="2">
        <v>43336</v>
      </c>
      <c r="I639">
        <v>61410</v>
      </c>
      <c r="J639">
        <v>0</v>
      </c>
      <c r="K639">
        <v>61410</v>
      </c>
      <c r="L639" s="1" t="s">
        <v>23</v>
      </c>
      <c r="M639" s="1" t="s">
        <v>43</v>
      </c>
      <c r="N639" s="2"/>
      <c r="O639">
        <v>638</v>
      </c>
      <c r="P639">
        <v>0</v>
      </c>
      <c r="Q639" t="s">
        <v>25</v>
      </c>
      <c r="R639">
        <f ca="1">DATEDIF(EMP_RAW_Data[[#This Row],[Hire Date]],IF(EMP_RAW_Data[[#This Row],[Exit Date]]="",TODAY(),EMP_RAW_Data[[#This Row],[Exit Date]]),"Y")</f>
        <v>7</v>
      </c>
      <c r="S639" t="str">
        <f>IF(EMP_RAW_Data[[#This Row],[Status]]=1,"Inactive","Active")</f>
        <v>Active</v>
      </c>
    </row>
    <row r="640" spans="1:19" hidden="1" x14ac:dyDescent="0.3">
      <c r="A640" s="1" t="s">
        <v>723</v>
      </c>
      <c r="B640" s="1" t="s">
        <v>49</v>
      </c>
      <c r="C640" s="1" t="s">
        <v>34</v>
      </c>
      <c r="D640" s="1" t="s">
        <v>35</v>
      </c>
      <c r="E640" s="1" t="s">
        <v>21</v>
      </c>
      <c r="F640">
        <v>61</v>
      </c>
      <c r="G640" t="s">
        <v>22</v>
      </c>
      <c r="H640" s="2">
        <v>40293</v>
      </c>
      <c r="I640">
        <v>110302</v>
      </c>
      <c r="J640">
        <v>0.06</v>
      </c>
      <c r="K640">
        <v>116920.12</v>
      </c>
      <c r="L640" s="1" t="s">
        <v>23</v>
      </c>
      <c r="M640" s="1" t="s">
        <v>52</v>
      </c>
      <c r="N640" s="2"/>
      <c r="O640">
        <v>639</v>
      </c>
      <c r="P640">
        <v>0</v>
      </c>
      <c r="Q640" t="s">
        <v>25</v>
      </c>
      <c r="R640">
        <f ca="1">DATEDIF(EMP_RAW_Data[[#This Row],[Hire Date]],IF(EMP_RAW_Data[[#This Row],[Exit Date]]="",TODAY(),EMP_RAW_Data[[#This Row],[Exit Date]]),"Y")</f>
        <v>15</v>
      </c>
      <c r="S640" t="str">
        <f>IF(EMP_RAW_Data[[#This Row],[Status]]=1,"Inactive","Active")</f>
        <v>Active</v>
      </c>
    </row>
    <row r="641" spans="1:19" x14ac:dyDescent="0.3">
      <c r="A641" s="1" t="s">
        <v>724</v>
      </c>
      <c r="B641" s="1" t="s">
        <v>33</v>
      </c>
      <c r="C641" s="1" t="s">
        <v>62</v>
      </c>
      <c r="D641" s="1" t="s">
        <v>35</v>
      </c>
      <c r="E641" s="1" t="s">
        <v>21</v>
      </c>
      <c r="F641">
        <v>45</v>
      </c>
      <c r="G641" t="s">
        <v>36</v>
      </c>
      <c r="H641" s="2">
        <v>43212</v>
      </c>
      <c r="I641">
        <v>187205</v>
      </c>
      <c r="J641">
        <v>0.24</v>
      </c>
      <c r="K641">
        <v>232134.2</v>
      </c>
      <c r="L641" s="1" t="s">
        <v>23</v>
      </c>
      <c r="M641" s="1" t="s">
        <v>74</v>
      </c>
      <c r="N641" s="2">
        <v>44732</v>
      </c>
      <c r="O641">
        <v>640</v>
      </c>
      <c r="P641">
        <v>1</v>
      </c>
      <c r="Q641" t="s">
        <v>25</v>
      </c>
      <c r="R641">
        <f ca="1">DATEDIF(EMP_RAW_Data[[#This Row],[Hire Date]],IF(EMP_RAW_Data[[#This Row],[Exit Date]]="",TODAY(),EMP_RAW_Data[[#This Row],[Exit Date]]),"Y")</f>
        <v>4</v>
      </c>
      <c r="S641" t="str">
        <f>IF(EMP_RAW_Data[[#This Row],[Status]]=1,"Inactive","Active")</f>
        <v>Inactive</v>
      </c>
    </row>
    <row r="642" spans="1:19" hidden="1" x14ac:dyDescent="0.3">
      <c r="A642" s="1" t="s">
        <v>725</v>
      </c>
      <c r="B642" s="1" t="s">
        <v>42</v>
      </c>
      <c r="C642" s="1" t="s">
        <v>46</v>
      </c>
      <c r="D642" s="1" t="s">
        <v>47</v>
      </c>
      <c r="E642" s="1" t="s">
        <v>29</v>
      </c>
      <c r="F642">
        <v>45</v>
      </c>
      <c r="G642" t="s">
        <v>36</v>
      </c>
      <c r="H642" s="2">
        <v>40618</v>
      </c>
      <c r="I642">
        <v>81687</v>
      </c>
      <c r="J642">
        <v>0</v>
      </c>
      <c r="K642">
        <v>81687</v>
      </c>
      <c r="L642" s="1" t="s">
        <v>23</v>
      </c>
      <c r="M642" s="1" t="s">
        <v>43</v>
      </c>
      <c r="N642" s="2"/>
      <c r="O642">
        <v>641</v>
      </c>
      <c r="P642">
        <v>0</v>
      </c>
      <c r="Q642" t="s">
        <v>25</v>
      </c>
      <c r="R642">
        <f ca="1">DATEDIF(EMP_RAW_Data[[#This Row],[Hire Date]],IF(EMP_RAW_Data[[#This Row],[Exit Date]]="",TODAY(),EMP_RAW_Data[[#This Row],[Exit Date]]),"Y")</f>
        <v>15</v>
      </c>
      <c r="S642" t="str">
        <f>IF(EMP_RAW_Data[[#This Row],[Status]]=1,"Inactive","Active")</f>
        <v>Active</v>
      </c>
    </row>
    <row r="643" spans="1:19" hidden="1" x14ac:dyDescent="0.3">
      <c r="A643" s="1" t="s">
        <v>726</v>
      </c>
      <c r="B643" s="1" t="s">
        <v>68</v>
      </c>
      <c r="C643" s="1" t="s">
        <v>19</v>
      </c>
      <c r="D643" s="1" t="s">
        <v>35</v>
      </c>
      <c r="E643" s="1" t="s">
        <v>29</v>
      </c>
      <c r="F643">
        <v>54</v>
      </c>
      <c r="G643" t="s">
        <v>36</v>
      </c>
      <c r="H643" s="2">
        <v>40040</v>
      </c>
      <c r="I643">
        <v>241083</v>
      </c>
      <c r="J643">
        <v>0.39</v>
      </c>
      <c r="K643">
        <v>335105.37</v>
      </c>
      <c r="L643" s="1" t="s">
        <v>23</v>
      </c>
      <c r="M643" s="1" t="s">
        <v>74</v>
      </c>
      <c r="N643" s="2"/>
      <c r="O643">
        <v>642</v>
      </c>
      <c r="P643">
        <v>0</v>
      </c>
      <c r="Q643" t="s">
        <v>25</v>
      </c>
      <c r="R643">
        <f ca="1">DATEDIF(EMP_RAW_Data[[#This Row],[Hire Date]],IF(EMP_RAW_Data[[#This Row],[Exit Date]]="",TODAY(),EMP_RAW_Data[[#This Row],[Exit Date]]),"Y")</f>
        <v>16</v>
      </c>
      <c r="S643" t="str">
        <f>IF(EMP_RAW_Data[[#This Row],[Status]]=1,"Inactive","Active")</f>
        <v>Active</v>
      </c>
    </row>
    <row r="644" spans="1:19" hidden="1" x14ac:dyDescent="0.3">
      <c r="A644" s="1" t="s">
        <v>727</v>
      </c>
      <c r="B644" s="1" t="s">
        <v>68</v>
      </c>
      <c r="C644" s="1" t="s">
        <v>34</v>
      </c>
      <c r="D644" s="1" t="s">
        <v>35</v>
      </c>
      <c r="E644" s="1" t="s">
        <v>21</v>
      </c>
      <c r="F644">
        <v>38</v>
      </c>
      <c r="G644" t="s">
        <v>59</v>
      </c>
      <c r="H644" s="2">
        <v>43413</v>
      </c>
      <c r="I644">
        <v>223805</v>
      </c>
      <c r="J644">
        <v>0.36</v>
      </c>
      <c r="K644">
        <v>304374.8</v>
      </c>
      <c r="L644" s="1" t="s">
        <v>23</v>
      </c>
      <c r="M644" s="1" t="s">
        <v>37</v>
      </c>
      <c r="N644" s="2"/>
      <c r="O644">
        <v>643</v>
      </c>
      <c r="P644">
        <v>0</v>
      </c>
      <c r="Q644" t="s">
        <v>25</v>
      </c>
      <c r="R644">
        <f ca="1">DATEDIF(EMP_RAW_Data[[#This Row],[Hire Date]],IF(EMP_RAW_Data[[#This Row],[Exit Date]]="",TODAY(),EMP_RAW_Data[[#This Row],[Exit Date]]),"Y")</f>
        <v>7</v>
      </c>
      <c r="S644" t="str">
        <f>IF(EMP_RAW_Data[[#This Row],[Status]]=1,"Inactive","Active")</f>
        <v>Active</v>
      </c>
    </row>
    <row r="645" spans="1:19" hidden="1" x14ac:dyDescent="0.3">
      <c r="A645" s="1" t="s">
        <v>728</v>
      </c>
      <c r="B645" s="1" t="s">
        <v>33</v>
      </c>
      <c r="C645" s="1" t="s">
        <v>54</v>
      </c>
      <c r="D645" s="1" t="s">
        <v>47</v>
      </c>
      <c r="E645" s="1" t="s">
        <v>21</v>
      </c>
      <c r="F645">
        <v>27</v>
      </c>
      <c r="G645" t="s">
        <v>40</v>
      </c>
      <c r="H645" s="2">
        <v>44393</v>
      </c>
      <c r="I645">
        <v>161759</v>
      </c>
      <c r="J645">
        <v>0.16</v>
      </c>
      <c r="K645">
        <v>187640.44</v>
      </c>
      <c r="L645" s="1" t="s">
        <v>23</v>
      </c>
      <c r="M645" s="1" t="s">
        <v>52</v>
      </c>
      <c r="N645" s="2"/>
      <c r="O645">
        <v>644</v>
      </c>
      <c r="P645">
        <v>0</v>
      </c>
      <c r="Q645" t="s">
        <v>25</v>
      </c>
      <c r="R645">
        <f ca="1">DATEDIF(EMP_RAW_Data[[#This Row],[Hire Date]],IF(EMP_RAW_Data[[#This Row],[Exit Date]]="",TODAY(),EMP_RAW_Data[[#This Row],[Exit Date]]),"Y")</f>
        <v>4</v>
      </c>
      <c r="S645" t="str">
        <f>IF(EMP_RAW_Data[[#This Row],[Status]]=1,"Inactive","Active")</f>
        <v>Active</v>
      </c>
    </row>
    <row r="646" spans="1:19" x14ac:dyDescent="0.3">
      <c r="A646" s="1" t="s">
        <v>729</v>
      </c>
      <c r="B646" s="1" t="s">
        <v>39</v>
      </c>
      <c r="C646" s="1" t="s">
        <v>19</v>
      </c>
      <c r="D646" s="1" t="s">
        <v>20</v>
      </c>
      <c r="E646" s="1" t="s">
        <v>29</v>
      </c>
      <c r="F646">
        <v>40</v>
      </c>
      <c r="G646" t="s">
        <v>59</v>
      </c>
      <c r="H646" s="2">
        <v>43520</v>
      </c>
      <c r="I646">
        <v>95899</v>
      </c>
      <c r="J646">
        <v>0.1</v>
      </c>
      <c r="K646">
        <v>105488.9</v>
      </c>
      <c r="L646" s="1" t="s">
        <v>23</v>
      </c>
      <c r="M646" s="1" t="s">
        <v>74</v>
      </c>
      <c r="N646" s="2">
        <v>44263</v>
      </c>
      <c r="O646">
        <v>645</v>
      </c>
      <c r="P646">
        <v>1</v>
      </c>
      <c r="Q646" t="s">
        <v>25</v>
      </c>
      <c r="R646">
        <f ca="1">DATEDIF(EMP_RAW_Data[[#This Row],[Hire Date]],IF(EMP_RAW_Data[[#This Row],[Exit Date]]="",TODAY(),EMP_RAW_Data[[#This Row],[Exit Date]]),"Y")</f>
        <v>2</v>
      </c>
      <c r="S646" t="str">
        <f>IF(EMP_RAW_Data[[#This Row],[Status]]=1,"Inactive","Active")</f>
        <v>Inactive</v>
      </c>
    </row>
    <row r="647" spans="1:19" hidden="1" x14ac:dyDescent="0.3">
      <c r="A647" s="1" t="s">
        <v>730</v>
      </c>
      <c r="B647" s="1" t="s">
        <v>42</v>
      </c>
      <c r="C647" s="1" t="s">
        <v>34</v>
      </c>
      <c r="D647" s="1" t="s">
        <v>47</v>
      </c>
      <c r="E647" s="1" t="s">
        <v>29</v>
      </c>
      <c r="F647">
        <v>49</v>
      </c>
      <c r="G647" t="s">
        <v>36</v>
      </c>
      <c r="H647" s="2">
        <v>43623</v>
      </c>
      <c r="I647">
        <v>80700</v>
      </c>
      <c r="J647">
        <v>0</v>
      </c>
      <c r="K647">
        <v>80700</v>
      </c>
      <c r="L647" s="1" t="s">
        <v>23</v>
      </c>
      <c r="M647" s="1" t="s">
        <v>74</v>
      </c>
      <c r="N647" s="2"/>
      <c r="O647">
        <v>646</v>
      </c>
      <c r="P647">
        <v>0</v>
      </c>
      <c r="Q647" t="s">
        <v>25</v>
      </c>
      <c r="R647">
        <f ca="1">DATEDIF(EMP_RAW_Data[[#This Row],[Hire Date]],IF(EMP_RAW_Data[[#This Row],[Exit Date]]="",TODAY(),EMP_RAW_Data[[#This Row],[Exit Date]]),"Y")</f>
        <v>6</v>
      </c>
      <c r="S647" t="str">
        <f>IF(EMP_RAW_Data[[#This Row],[Status]]=1,"Inactive","Active")</f>
        <v>Active</v>
      </c>
    </row>
    <row r="648" spans="1:19" hidden="1" x14ac:dyDescent="0.3">
      <c r="A648" s="1" t="s">
        <v>731</v>
      </c>
      <c r="B648" s="1" t="s">
        <v>49</v>
      </c>
      <c r="C648" s="1" t="s">
        <v>58</v>
      </c>
      <c r="D648" s="1" t="s">
        <v>35</v>
      </c>
      <c r="E648" s="1" t="s">
        <v>29</v>
      </c>
      <c r="F648">
        <v>54</v>
      </c>
      <c r="G648" t="s">
        <v>36</v>
      </c>
      <c r="H648" s="2">
        <v>35500</v>
      </c>
      <c r="I648">
        <v>128136</v>
      </c>
      <c r="J648">
        <v>0.05</v>
      </c>
      <c r="K648">
        <v>134542.79999999999</v>
      </c>
      <c r="L648" s="1" t="s">
        <v>30</v>
      </c>
      <c r="M648" s="1" t="s">
        <v>90</v>
      </c>
      <c r="N648" s="2"/>
      <c r="O648">
        <v>647</v>
      </c>
      <c r="P648">
        <v>0</v>
      </c>
      <c r="Q648" t="s">
        <v>25</v>
      </c>
      <c r="R648">
        <f ca="1">DATEDIF(EMP_RAW_Data[[#This Row],[Hire Date]],IF(EMP_RAW_Data[[#This Row],[Exit Date]]="",TODAY(),EMP_RAW_Data[[#This Row],[Exit Date]]),"Y")</f>
        <v>29</v>
      </c>
      <c r="S648" t="str">
        <f>IF(EMP_RAW_Data[[#This Row],[Status]]=1,"Inactive","Active")</f>
        <v>Active</v>
      </c>
    </row>
    <row r="649" spans="1:19" hidden="1" x14ac:dyDescent="0.3">
      <c r="A649" s="1" t="s">
        <v>732</v>
      </c>
      <c r="B649" s="1" t="s">
        <v>96</v>
      </c>
      <c r="C649" s="1" t="s">
        <v>69</v>
      </c>
      <c r="D649" s="1" t="s">
        <v>47</v>
      </c>
      <c r="E649" s="1" t="s">
        <v>21</v>
      </c>
      <c r="F649">
        <v>39</v>
      </c>
      <c r="G649" t="s">
        <v>59</v>
      </c>
      <c r="H649" s="2">
        <v>42843</v>
      </c>
      <c r="I649">
        <v>58745</v>
      </c>
      <c r="J649">
        <v>0</v>
      </c>
      <c r="K649">
        <v>58745</v>
      </c>
      <c r="L649" s="1" t="s">
        <v>23</v>
      </c>
      <c r="M649" s="1" t="s">
        <v>55</v>
      </c>
      <c r="N649" s="2"/>
      <c r="O649">
        <v>648</v>
      </c>
      <c r="P649">
        <v>0</v>
      </c>
      <c r="Q649" t="s">
        <v>25</v>
      </c>
      <c r="R649">
        <f ca="1">DATEDIF(EMP_RAW_Data[[#This Row],[Hire Date]],IF(EMP_RAW_Data[[#This Row],[Exit Date]]="",TODAY(),EMP_RAW_Data[[#This Row],[Exit Date]]),"Y")</f>
        <v>8</v>
      </c>
      <c r="S649" t="str">
        <f>IF(EMP_RAW_Data[[#This Row],[Status]]=1,"Inactive","Active")</f>
        <v>Active</v>
      </c>
    </row>
    <row r="650" spans="1:19" x14ac:dyDescent="0.3">
      <c r="A650" s="1" t="s">
        <v>733</v>
      </c>
      <c r="B650" s="1" t="s">
        <v>27</v>
      </c>
      <c r="C650" s="1" t="s">
        <v>19</v>
      </c>
      <c r="D650" s="1" t="s">
        <v>47</v>
      </c>
      <c r="E650" s="1" t="s">
        <v>21</v>
      </c>
      <c r="F650">
        <v>57</v>
      </c>
      <c r="G650" t="s">
        <v>22</v>
      </c>
      <c r="H650" s="2">
        <v>33728</v>
      </c>
      <c r="I650">
        <v>76202</v>
      </c>
      <c r="J650">
        <v>0</v>
      </c>
      <c r="K650">
        <v>76202</v>
      </c>
      <c r="L650" s="1" t="s">
        <v>23</v>
      </c>
      <c r="M650" s="1" t="s">
        <v>55</v>
      </c>
      <c r="N650" s="2">
        <v>34686</v>
      </c>
      <c r="O650">
        <v>649</v>
      </c>
      <c r="P650">
        <v>1</v>
      </c>
      <c r="Q650" t="s">
        <v>25</v>
      </c>
      <c r="R650">
        <f ca="1">DATEDIF(EMP_RAW_Data[[#This Row],[Hire Date]],IF(EMP_RAW_Data[[#This Row],[Exit Date]]="",TODAY(),EMP_RAW_Data[[#This Row],[Exit Date]]),"Y")</f>
        <v>2</v>
      </c>
      <c r="S650" t="str">
        <f>IF(EMP_RAW_Data[[#This Row],[Status]]=1,"Inactive","Active")</f>
        <v>Inactive</v>
      </c>
    </row>
    <row r="651" spans="1:19" hidden="1" x14ac:dyDescent="0.3">
      <c r="A651" s="1" t="s">
        <v>734</v>
      </c>
      <c r="B651" s="1" t="s">
        <v>68</v>
      </c>
      <c r="C651" s="1" t="s">
        <v>46</v>
      </c>
      <c r="D651" s="1" t="s">
        <v>35</v>
      </c>
      <c r="E651" s="1" t="s">
        <v>29</v>
      </c>
      <c r="F651">
        <v>36</v>
      </c>
      <c r="G651" t="s">
        <v>59</v>
      </c>
      <c r="H651" s="2">
        <v>43178</v>
      </c>
      <c r="I651">
        <v>195200</v>
      </c>
      <c r="J651">
        <v>0.36</v>
      </c>
      <c r="K651">
        <v>265472</v>
      </c>
      <c r="L651" s="1" t="s">
        <v>23</v>
      </c>
      <c r="M651" s="1" t="s">
        <v>55</v>
      </c>
      <c r="N651" s="2"/>
      <c r="O651">
        <v>650</v>
      </c>
      <c r="P651">
        <v>0</v>
      </c>
      <c r="Q651" t="s">
        <v>25</v>
      </c>
      <c r="R651">
        <f ca="1">DATEDIF(EMP_RAW_Data[[#This Row],[Hire Date]],IF(EMP_RAW_Data[[#This Row],[Exit Date]]="",TODAY(),EMP_RAW_Data[[#This Row],[Exit Date]]),"Y")</f>
        <v>7</v>
      </c>
      <c r="S651" t="str">
        <f>IF(EMP_RAW_Data[[#This Row],[Status]]=1,"Inactive","Active")</f>
        <v>Active</v>
      </c>
    </row>
    <row r="652" spans="1:19" hidden="1" x14ac:dyDescent="0.3">
      <c r="A652" s="1" t="s">
        <v>735</v>
      </c>
      <c r="B652" s="1" t="s">
        <v>96</v>
      </c>
      <c r="C652" s="1" t="s">
        <v>34</v>
      </c>
      <c r="D652" s="1" t="s">
        <v>28</v>
      </c>
      <c r="E652" s="1" t="s">
        <v>21</v>
      </c>
      <c r="F652">
        <v>45</v>
      </c>
      <c r="G652" t="s">
        <v>36</v>
      </c>
      <c r="H652" s="2">
        <v>42711</v>
      </c>
      <c r="I652">
        <v>71454</v>
      </c>
      <c r="J652">
        <v>0</v>
      </c>
      <c r="K652">
        <v>71454</v>
      </c>
      <c r="L652" s="1" t="s">
        <v>30</v>
      </c>
      <c r="M652" s="1" t="s">
        <v>65</v>
      </c>
      <c r="N652" s="2"/>
      <c r="O652">
        <v>651</v>
      </c>
      <c r="P652">
        <v>0</v>
      </c>
      <c r="Q652" t="s">
        <v>25</v>
      </c>
      <c r="R652">
        <f ca="1">DATEDIF(EMP_RAW_Data[[#This Row],[Hire Date]],IF(EMP_RAW_Data[[#This Row],[Exit Date]]="",TODAY(),EMP_RAW_Data[[#This Row],[Exit Date]]),"Y")</f>
        <v>9</v>
      </c>
      <c r="S652" t="str">
        <f>IF(EMP_RAW_Data[[#This Row],[Status]]=1,"Inactive","Active")</f>
        <v>Active</v>
      </c>
    </row>
    <row r="653" spans="1:19" hidden="1" x14ac:dyDescent="0.3">
      <c r="A653" s="1" t="s">
        <v>736</v>
      </c>
      <c r="B653" s="1" t="s">
        <v>142</v>
      </c>
      <c r="C653" s="1" t="s">
        <v>19</v>
      </c>
      <c r="D653" s="1" t="s">
        <v>28</v>
      </c>
      <c r="E653" s="1" t="s">
        <v>21</v>
      </c>
      <c r="F653">
        <v>30</v>
      </c>
      <c r="G653" t="s">
        <v>40</v>
      </c>
      <c r="H653" s="2">
        <v>43864</v>
      </c>
      <c r="I653">
        <v>94652</v>
      </c>
      <c r="J653">
        <v>0</v>
      </c>
      <c r="K653">
        <v>94652</v>
      </c>
      <c r="L653" s="1" t="s">
        <v>23</v>
      </c>
      <c r="M653" s="1" t="s">
        <v>24</v>
      </c>
      <c r="N653" s="2"/>
      <c r="O653">
        <v>652</v>
      </c>
      <c r="P653">
        <v>0</v>
      </c>
      <c r="Q653" t="s">
        <v>25</v>
      </c>
      <c r="R653">
        <f ca="1">DATEDIF(EMP_RAW_Data[[#This Row],[Hire Date]],IF(EMP_RAW_Data[[#This Row],[Exit Date]]="",TODAY(),EMP_RAW_Data[[#This Row],[Exit Date]]),"Y")</f>
        <v>6</v>
      </c>
      <c r="S653" t="str">
        <f>IF(EMP_RAW_Data[[#This Row],[Status]]=1,"Inactive","Active")</f>
        <v>Active</v>
      </c>
    </row>
    <row r="654" spans="1:19" hidden="1" x14ac:dyDescent="0.3">
      <c r="A654" s="1" t="s">
        <v>737</v>
      </c>
      <c r="B654" s="1" t="s">
        <v>27</v>
      </c>
      <c r="C654" s="1" t="s">
        <v>19</v>
      </c>
      <c r="D654" s="1" t="s">
        <v>28</v>
      </c>
      <c r="E654" s="1" t="s">
        <v>29</v>
      </c>
      <c r="F654">
        <v>34</v>
      </c>
      <c r="G654" t="s">
        <v>40</v>
      </c>
      <c r="H654" s="2">
        <v>42416</v>
      </c>
      <c r="I654">
        <v>63411</v>
      </c>
      <c r="J654">
        <v>0</v>
      </c>
      <c r="K654">
        <v>63411</v>
      </c>
      <c r="L654" s="1" t="s">
        <v>23</v>
      </c>
      <c r="M654" s="1" t="s">
        <v>52</v>
      </c>
      <c r="N654" s="2"/>
      <c r="O654">
        <v>653</v>
      </c>
      <c r="P654">
        <v>0</v>
      </c>
      <c r="Q654" t="s">
        <v>25</v>
      </c>
      <c r="R654">
        <f ca="1">DATEDIF(EMP_RAW_Data[[#This Row],[Hire Date]],IF(EMP_RAW_Data[[#This Row],[Exit Date]]="",TODAY(),EMP_RAW_Data[[#This Row],[Exit Date]]),"Y")</f>
        <v>10</v>
      </c>
      <c r="S654" t="str">
        <f>IF(EMP_RAW_Data[[#This Row],[Status]]=1,"Inactive","Active")</f>
        <v>Active</v>
      </c>
    </row>
    <row r="655" spans="1:19" x14ac:dyDescent="0.3">
      <c r="A655" s="1" t="s">
        <v>738</v>
      </c>
      <c r="B655" s="1" t="s">
        <v>96</v>
      </c>
      <c r="C655" s="1" t="s">
        <v>46</v>
      </c>
      <c r="D655" s="1" t="s">
        <v>35</v>
      </c>
      <c r="E655" s="1" t="s">
        <v>29</v>
      </c>
      <c r="F655">
        <v>31</v>
      </c>
      <c r="G655" t="s">
        <v>40</v>
      </c>
      <c r="H655" s="2">
        <v>43878</v>
      </c>
      <c r="I655">
        <v>67171</v>
      </c>
      <c r="J655">
        <v>0</v>
      </c>
      <c r="K655">
        <v>67171</v>
      </c>
      <c r="L655" s="1" t="s">
        <v>30</v>
      </c>
      <c r="M655" s="1" t="s">
        <v>31</v>
      </c>
      <c r="N655" s="2">
        <v>44317</v>
      </c>
      <c r="O655">
        <v>654</v>
      </c>
      <c r="P655">
        <v>1</v>
      </c>
      <c r="Q655" t="s">
        <v>25</v>
      </c>
      <c r="R655">
        <f ca="1">DATEDIF(EMP_RAW_Data[[#This Row],[Hire Date]],IF(EMP_RAW_Data[[#This Row],[Exit Date]]="",TODAY(),EMP_RAW_Data[[#This Row],[Exit Date]]),"Y")</f>
        <v>1</v>
      </c>
      <c r="S655" t="str">
        <f>IF(EMP_RAW_Data[[#This Row],[Status]]=1,"Inactive","Active")</f>
        <v>Inactive</v>
      </c>
    </row>
    <row r="656" spans="1:19" hidden="1" x14ac:dyDescent="0.3">
      <c r="A656" s="1" t="s">
        <v>739</v>
      </c>
      <c r="B656" s="1" t="s">
        <v>18</v>
      </c>
      <c r="C656" s="1" t="s">
        <v>54</v>
      </c>
      <c r="D656" s="1" t="s">
        <v>35</v>
      </c>
      <c r="E656" s="1" t="s">
        <v>21</v>
      </c>
      <c r="F656">
        <v>28</v>
      </c>
      <c r="G656" t="s">
        <v>40</v>
      </c>
      <c r="H656" s="2">
        <v>43652</v>
      </c>
      <c r="I656">
        <v>152036</v>
      </c>
      <c r="J656">
        <v>0.15</v>
      </c>
      <c r="K656">
        <v>174841.4</v>
      </c>
      <c r="L656" s="1" t="s">
        <v>77</v>
      </c>
      <c r="M656" s="1" t="s">
        <v>81</v>
      </c>
      <c r="N656" s="2"/>
      <c r="O656">
        <v>655</v>
      </c>
      <c r="P656">
        <v>0</v>
      </c>
      <c r="Q656" t="s">
        <v>25</v>
      </c>
      <c r="R656">
        <f ca="1">DATEDIF(EMP_RAW_Data[[#This Row],[Hire Date]],IF(EMP_RAW_Data[[#This Row],[Exit Date]]="",TODAY(),EMP_RAW_Data[[#This Row],[Exit Date]]),"Y")</f>
        <v>6</v>
      </c>
      <c r="S656" t="str">
        <f>IF(EMP_RAW_Data[[#This Row],[Status]]=1,"Inactive","Active")</f>
        <v>Active</v>
      </c>
    </row>
    <row r="657" spans="1:19" hidden="1" x14ac:dyDescent="0.3">
      <c r="A657" s="1" t="s">
        <v>740</v>
      </c>
      <c r="B657" s="1" t="s">
        <v>61</v>
      </c>
      <c r="C657" s="1" t="s">
        <v>62</v>
      </c>
      <c r="D657" s="1" t="s">
        <v>28</v>
      </c>
      <c r="E657" s="1" t="s">
        <v>21</v>
      </c>
      <c r="F657">
        <v>55</v>
      </c>
      <c r="G657" t="s">
        <v>22</v>
      </c>
      <c r="H657" s="2">
        <v>44276</v>
      </c>
      <c r="I657">
        <v>95562</v>
      </c>
      <c r="J657">
        <v>0</v>
      </c>
      <c r="K657">
        <v>95562</v>
      </c>
      <c r="L657" s="1" t="s">
        <v>23</v>
      </c>
      <c r="M657" s="1" t="s">
        <v>37</v>
      </c>
      <c r="N657" s="2"/>
      <c r="O657">
        <v>656</v>
      </c>
      <c r="P657">
        <v>0</v>
      </c>
      <c r="Q657" t="s">
        <v>25</v>
      </c>
      <c r="R657">
        <f ca="1">DATEDIF(EMP_RAW_Data[[#This Row],[Hire Date]],IF(EMP_RAW_Data[[#This Row],[Exit Date]]="",TODAY(),EMP_RAW_Data[[#This Row],[Exit Date]]),"Y")</f>
        <v>4</v>
      </c>
      <c r="S657" t="str">
        <f>IF(EMP_RAW_Data[[#This Row],[Status]]=1,"Inactive","Active")</f>
        <v>Active</v>
      </c>
    </row>
    <row r="658" spans="1:19" hidden="1" x14ac:dyDescent="0.3">
      <c r="A658" s="1" t="s">
        <v>741</v>
      </c>
      <c r="B658" s="1" t="s">
        <v>42</v>
      </c>
      <c r="C658" s="1" t="s">
        <v>46</v>
      </c>
      <c r="D658" s="1" t="s">
        <v>20</v>
      </c>
      <c r="E658" s="1" t="s">
        <v>29</v>
      </c>
      <c r="F658">
        <v>30</v>
      </c>
      <c r="G658" t="s">
        <v>40</v>
      </c>
      <c r="H658" s="2">
        <v>43773</v>
      </c>
      <c r="I658">
        <v>96092</v>
      </c>
      <c r="J658">
        <v>0</v>
      </c>
      <c r="K658">
        <v>96092</v>
      </c>
      <c r="L658" s="1" t="s">
        <v>23</v>
      </c>
      <c r="M658" s="1" t="s">
        <v>55</v>
      </c>
      <c r="N658" s="2"/>
      <c r="O658">
        <v>657</v>
      </c>
      <c r="P658">
        <v>0</v>
      </c>
      <c r="Q658" t="s">
        <v>25</v>
      </c>
      <c r="R658">
        <f ca="1">DATEDIF(EMP_RAW_Data[[#This Row],[Hire Date]],IF(EMP_RAW_Data[[#This Row],[Exit Date]]="",TODAY(),EMP_RAW_Data[[#This Row],[Exit Date]]),"Y")</f>
        <v>6</v>
      </c>
      <c r="S658" t="str">
        <f>IF(EMP_RAW_Data[[#This Row],[Status]]=1,"Inactive","Active")</f>
        <v>Active</v>
      </c>
    </row>
    <row r="659" spans="1:19" hidden="1" x14ac:dyDescent="0.3">
      <c r="A659" s="1" t="s">
        <v>742</v>
      </c>
      <c r="B659" s="1" t="s">
        <v>68</v>
      </c>
      <c r="C659" s="1" t="s">
        <v>62</v>
      </c>
      <c r="D659" s="1" t="s">
        <v>28</v>
      </c>
      <c r="E659" s="1" t="s">
        <v>29</v>
      </c>
      <c r="F659">
        <v>63</v>
      </c>
      <c r="G659" t="s">
        <v>22</v>
      </c>
      <c r="H659" s="2">
        <v>41428</v>
      </c>
      <c r="I659">
        <v>254289</v>
      </c>
      <c r="J659">
        <v>0.39</v>
      </c>
      <c r="K659">
        <v>353461.71</v>
      </c>
      <c r="L659" s="1" t="s">
        <v>23</v>
      </c>
      <c r="M659" s="1" t="s">
        <v>37</v>
      </c>
      <c r="N659" s="2"/>
      <c r="O659">
        <v>658</v>
      </c>
      <c r="P659">
        <v>0</v>
      </c>
      <c r="Q659" t="s">
        <v>25</v>
      </c>
      <c r="R659">
        <f ca="1">DATEDIF(EMP_RAW_Data[[#This Row],[Hire Date]],IF(EMP_RAW_Data[[#This Row],[Exit Date]]="",TODAY(),EMP_RAW_Data[[#This Row],[Exit Date]]),"Y")</f>
        <v>12</v>
      </c>
      <c r="S659" t="str">
        <f>IF(EMP_RAW_Data[[#This Row],[Status]]=1,"Inactive","Active")</f>
        <v>Active</v>
      </c>
    </row>
    <row r="660" spans="1:19" hidden="1" x14ac:dyDescent="0.3">
      <c r="A660" s="1" t="s">
        <v>743</v>
      </c>
      <c r="B660" s="1" t="s">
        <v>39</v>
      </c>
      <c r="C660" s="1" t="s">
        <v>19</v>
      </c>
      <c r="D660" s="1" t="s">
        <v>20</v>
      </c>
      <c r="E660" s="1" t="s">
        <v>29</v>
      </c>
      <c r="F660">
        <v>26</v>
      </c>
      <c r="G660" t="s">
        <v>40</v>
      </c>
      <c r="H660" s="2">
        <v>43656</v>
      </c>
      <c r="I660">
        <v>69110</v>
      </c>
      <c r="J660">
        <v>0.05</v>
      </c>
      <c r="K660">
        <v>72565.5</v>
      </c>
      <c r="L660" s="1" t="s">
        <v>23</v>
      </c>
      <c r="M660" s="1" t="s">
        <v>37</v>
      </c>
      <c r="N660" s="2"/>
      <c r="O660">
        <v>659</v>
      </c>
      <c r="P660">
        <v>0</v>
      </c>
      <c r="Q660" t="s">
        <v>25</v>
      </c>
      <c r="R660">
        <f ca="1">DATEDIF(EMP_RAW_Data[[#This Row],[Hire Date]],IF(EMP_RAW_Data[[#This Row],[Exit Date]]="",TODAY(),EMP_RAW_Data[[#This Row],[Exit Date]]),"Y")</f>
        <v>6</v>
      </c>
      <c r="S660" t="str">
        <f>IF(EMP_RAW_Data[[#This Row],[Status]]=1,"Inactive","Active")</f>
        <v>Active</v>
      </c>
    </row>
    <row r="661" spans="1:19" hidden="1" x14ac:dyDescent="0.3">
      <c r="A661" s="1" t="s">
        <v>744</v>
      </c>
      <c r="B661" s="1" t="s">
        <v>68</v>
      </c>
      <c r="C661" s="1" t="s">
        <v>69</v>
      </c>
      <c r="D661" s="1" t="s">
        <v>35</v>
      </c>
      <c r="E661" s="1" t="s">
        <v>29</v>
      </c>
      <c r="F661">
        <v>52</v>
      </c>
      <c r="G661" t="s">
        <v>36</v>
      </c>
      <c r="H661" s="2">
        <v>37418</v>
      </c>
      <c r="I661">
        <v>236314</v>
      </c>
      <c r="J661">
        <v>0.34</v>
      </c>
      <c r="K661">
        <v>316660.76</v>
      </c>
      <c r="L661" s="1" t="s">
        <v>23</v>
      </c>
      <c r="M661" s="1" t="s">
        <v>52</v>
      </c>
      <c r="N661" s="2"/>
      <c r="O661">
        <v>660</v>
      </c>
      <c r="P661">
        <v>0</v>
      </c>
      <c r="Q661" t="s">
        <v>25</v>
      </c>
      <c r="R661">
        <f ca="1">DATEDIF(EMP_RAW_Data[[#This Row],[Hire Date]],IF(EMP_RAW_Data[[#This Row],[Exit Date]]="",TODAY(),EMP_RAW_Data[[#This Row],[Exit Date]]),"Y")</f>
        <v>23</v>
      </c>
      <c r="S661" t="str">
        <f>IF(EMP_RAW_Data[[#This Row],[Status]]=1,"Inactive","Active")</f>
        <v>Active</v>
      </c>
    </row>
    <row r="662" spans="1:19" hidden="1" x14ac:dyDescent="0.3">
      <c r="A662" s="1" t="s">
        <v>745</v>
      </c>
      <c r="B662" s="1" t="s">
        <v>51</v>
      </c>
      <c r="C662" s="1" t="s">
        <v>69</v>
      </c>
      <c r="D662" s="1" t="s">
        <v>47</v>
      </c>
      <c r="E662" s="1" t="s">
        <v>29</v>
      </c>
      <c r="F662">
        <v>51</v>
      </c>
      <c r="G662" t="s">
        <v>36</v>
      </c>
      <c r="H662" s="2">
        <v>39252</v>
      </c>
      <c r="I662">
        <v>45206</v>
      </c>
      <c r="J662">
        <v>0</v>
      </c>
      <c r="K662">
        <v>45206</v>
      </c>
      <c r="L662" s="1" t="s">
        <v>23</v>
      </c>
      <c r="M662" s="1" t="s">
        <v>74</v>
      </c>
      <c r="N662" s="2"/>
      <c r="O662">
        <v>661</v>
      </c>
      <c r="P662">
        <v>0</v>
      </c>
      <c r="Q662" t="s">
        <v>25</v>
      </c>
      <c r="R662">
        <f ca="1">DATEDIF(EMP_RAW_Data[[#This Row],[Hire Date]],IF(EMP_RAW_Data[[#This Row],[Exit Date]]="",TODAY(),EMP_RAW_Data[[#This Row],[Exit Date]]),"Y")</f>
        <v>18</v>
      </c>
      <c r="S662" t="str">
        <f>IF(EMP_RAW_Data[[#This Row],[Status]]=1,"Inactive","Active")</f>
        <v>Active</v>
      </c>
    </row>
    <row r="663" spans="1:19" hidden="1" x14ac:dyDescent="0.3">
      <c r="A663" s="1" t="s">
        <v>746</v>
      </c>
      <c r="B663" s="1" t="s">
        <v>68</v>
      </c>
      <c r="C663" s="1" t="s">
        <v>34</v>
      </c>
      <c r="D663" s="1" t="s">
        <v>20</v>
      </c>
      <c r="E663" s="1" t="s">
        <v>21</v>
      </c>
      <c r="F663">
        <v>25</v>
      </c>
      <c r="G663" t="s">
        <v>40</v>
      </c>
      <c r="H663" s="2">
        <v>44515</v>
      </c>
      <c r="I663">
        <v>210708</v>
      </c>
      <c r="J663">
        <v>0.33</v>
      </c>
      <c r="K663">
        <v>280241.64</v>
      </c>
      <c r="L663" s="1" t="s">
        <v>23</v>
      </c>
      <c r="M663" s="1" t="s">
        <v>37</v>
      </c>
      <c r="N663" s="2"/>
      <c r="O663">
        <v>662</v>
      </c>
      <c r="P663">
        <v>0</v>
      </c>
      <c r="Q663" t="s">
        <v>25</v>
      </c>
      <c r="R663">
        <f ca="1">DATEDIF(EMP_RAW_Data[[#This Row],[Hire Date]],IF(EMP_RAW_Data[[#This Row],[Exit Date]]="",TODAY(),EMP_RAW_Data[[#This Row],[Exit Date]]),"Y")</f>
        <v>4</v>
      </c>
      <c r="S663" t="str">
        <f>IF(EMP_RAW_Data[[#This Row],[Status]]=1,"Inactive","Active")</f>
        <v>Active</v>
      </c>
    </row>
    <row r="664" spans="1:19" hidden="1" x14ac:dyDescent="0.3">
      <c r="A664" s="1" t="s">
        <v>747</v>
      </c>
      <c r="B664" s="1" t="s">
        <v>192</v>
      </c>
      <c r="C664" s="1" t="s">
        <v>19</v>
      </c>
      <c r="D664" s="1" t="s">
        <v>47</v>
      </c>
      <c r="E664" s="1" t="s">
        <v>29</v>
      </c>
      <c r="F664">
        <v>40</v>
      </c>
      <c r="G664" t="s">
        <v>59</v>
      </c>
      <c r="H664" s="2">
        <v>44465</v>
      </c>
      <c r="I664">
        <v>87770</v>
      </c>
      <c r="J664">
        <v>0</v>
      </c>
      <c r="K664">
        <v>87770</v>
      </c>
      <c r="L664" s="1" t="s">
        <v>23</v>
      </c>
      <c r="M664" s="1" t="s">
        <v>55</v>
      </c>
      <c r="N664" s="2"/>
      <c r="O664">
        <v>663</v>
      </c>
      <c r="P664">
        <v>0</v>
      </c>
      <c r="Q664" t="s">
        <v>25</v>
      </c>
      <c r="R664">
        <f ca="1">DATEDIF(EMP_RAW_Data[[#This Row],[Hire Date]],IF(EMP_RAW_Data[[#This Row],[Exit Date]]="",TODAY(),EMP_RAW_Data[[#This Row],[Exit Date]]),"Y")</f>
        <v>4</v>
      </c>
      <c r="S664" t="str">
        <f>IF(EMP_RAW_Data[[#This Row],[Status]]=1,"Inactive","Active")</f>
        <v>Active</v>
      </c>
    </row>
    <row r="665" spans="1:19" hidden="1" x14ac:dyDescent="0.3">
      <c r="A665" s="1" t="s">
        <v>748</v>
      </c>
      <c r="B665" s="1" t="s">
        <v>49</v>
      </c>
      <c r="C665" s="1" t="s">
        <v>54</v>
      </c>
      <c r="D665" s="1" t="s">
        <v>47</v>
      </c>
      <c r="E665" s="1" t="s">
        <v>21</v>
      </c>
      <c r="F665">
        <v>38</v>
      </c>
      <c r="G665" t="s">
        <v>59</v>
      </c>
      <c r="H665" s="2">
        <v>42228</v>
      </c>
      <c r="I665">
        <v>106858</v>
      </c>
      <c r="J665">
        <v>0.05</v>
      </c>
      <c r="K665">
        <v>112200.9</v>
      </c>
      <c r="L665" s="1" t="s">
        <v>23</v>
      </c>
      <c r="M665" s="1" t="s">
        <v>24</v>
      </c>
      <c r="N665" s="2"/>
      <c r="O665">
        <v>664</v>
      </c>
      <c r="P665">
        <v>0</v>
      </c>
      <c r="Q665" t="s">
        <v>25</v>
      </c>
      <c r="R665">
        <f ca="1">DATEDIF(EMP_RAW_Data[[#This Row],[Hire Date]],IF(EMP_RAW_Data[[#This Row],[Exit Date]]="",TODAY(),EMP_RAW_Data[[#This Row],[Exit Date]]),"Y")</f>
        <v>10</v>
      </c>
      <c r="S665" t="str">
        <f>IF(EMP_RAW_Data[[#This Row],[Status]]=1,"Inactive","Active")</f>
        <v>Active</v>
      </c>
    </row>
    <row r="666" spans="1:19" hidden="1" x14ac:dyDescent="0.3">
      <c r="A666" s="1" t="s">
        <v>749</v>
      </c>
      <c r="B666" s="1" t="s">
        <v>33</v>
      </c>
      <c r="C666" s="1" t="s">
        <v>58</v>
      </c>
      <c r="D666" s="1" t="s">
        <v>47</v>
      </c>
      <c r="E666" s="1" t="s">
        <v>29</v>
      </c>
      <c r="F666">
        <v>60</v>
      </c>
      <c r="G666" t="s">
        <v>22</v>
      </c>
      <c r="H666" s="2">
        <v>42108</v>
      </c>
      <c r="I666">
        <v>155788</v>
      </c>
      <c r="J666">
        <v>0.17</v>
      </c>
      <c r="K666">
        <v>182271.96</v>
      </c>
      <c r="L666" s="1" t="s">
        <v>23</v>
      </c>
      <c r="M666" s="1" t="s">
        <v>24</v>
      </c>
      <c r="N666" s="2"/>
      <c r="O666">
        <v>665</v>
      </c>
      <c r="P666">
        <v>0</v>
      </c>
      <c r="Q666" t="s">
        <v>25</v>
      </c>
      <c r="R666">
        <f ca="1">DATEDIF(EMP_RAW_Data[[#This Row],[Hire Date]],IF(EMP_RAW_Data[[#This Row],[Exit Date]]="",TODAY(),EMP_RAW_Data[[#This Row],[Exit Date]]),"Y")</f>
        <v>10</v>
      </c>
      <c r="S666" t="str">
        <f>IF(EMP_RAW_Data[[#This Row],[Status]]=1,"Inactive","Active")</f>
        <v>Active</v>
      </c>
    </row>
    <row r="667" spans="1:19" hidden="1" x14ac:dyDescent="0.3">
      <c r="A667" s="1" t="s">
        <v>750</v>
      </c>
      <c r="B667" s="1" t="s">
        <v>107</v>
      </c>
      <c r="C667" s="1" t="s">
        <v>58</v>
      </c>
      <c r="D667" s="1" t="s">
        <v>35</v>
      </c>
      <c r="E667" s="1" t="s">
        <v>21</v>
      </c>
      <c r="F667">
        <v>45</v>
      </c>
      <c r="G667" t="s">
        <v>36</v>
      </c>
      <c r="H667" s="2">
        <v>43581</v>
      </c>
      <c r="I667">
        <v>74891</v>
      </c>
      <c r="J667">
        <v>0</v>
      </c>
      <c r="K667">
        <v>74891</v>
      </c>
      <c r="L667" s="1" t="s">
        <v>77</v>
      </c>
      <c r="M667" s="1" t="s">
        <v>81</v>
      </c>
      <c r="N667" s="2"/>
      <c r="O667">
        <v>666</v>
      </c>
      <c r="P667">
        <v>0</v>
      </c>
      <c r="Q667" t="s">
        <v>25</v>
      </c>
      <c r="R667">
        <f ca="1">DATEDIF(EMP_RAW_Data[[#This Row],[Hire Date]],IF(EMP_RAW_Data[[#This Row],[Exit Date]]="",TODAY(),EMP_RAW_Data[[#This Row],[Exit Date]]),"Y")</f>
        <v>6</v>
      </c>
      <c r="S667" t="str">
        <f>IF(EMP_RAW_Data[[#This Row],[Status]]=1,"Inactive","Active")</f>
        <v>Active</v>
      </c>
    </row>
    <row r="668" spans="1:19" hidden="1" x14ac:dyDescent="0.3">
      <c r="A668" s="1" t="s">
        <v>751</v>
      </c>
      <c r="B668" s="1" t="s">
        <v>61</v>
      </c>
      <c r="C668" s="1" t="s">
        <v>62</v>
      </c>
      <c r="D668" s="1" t="s">
        <v>47</v>
      </c>
      <c r="E668" s="1" t="s">
        <v>29</v>
      </c>
      <c r="F668">
        <v>28</v>
      </c>
      <c r="G668" t="s">
        <v>40</v>
      </c>
      <c r="H668" s="2">
        <v>44548</v>
      </c>
      <c r="I668">
        <v>95670</v>
      </c>
      <c r="J668">
        <v>0</v>
      </c>
      <c r="K668">
        <v>95670</v>
      </c>
      <c r="L668" s="1" t="s">
        <v>23</v>
      </c>
      <c r="M668" s="1" t="s">
        <v>43</v>
      </c>
      <c r="N668" s="2"/>
      <c r="O668">
        <v>667</v>
      </c>
      <c r="P668">
        <v>0</v>
      </c>
      <c r="Q668" t="s">
        <v>25</v>
      </c>
      <c r="R668">
        <f ca="1">DATEDIF(EMP_RAW_Data[[#This Row],[Hire Date]],IF(EMP_RAW_Data[[#This Row],[Exit Date]]="",TODAY(),EMP_RAW_Data[[#This Row],[Exit Date]]),"Y")</f>
        <v>4</v>
      </c>
      <c r="S668" t="str">
        <f>IF(EMP_RAW_Data[[#This Row],[Status]]=1,"Inactive","Active")</f>
        <v>Active</v>
      </c>
    </row>
    <row r="669" spans="1:19" hidden="1" x14ac:dyDescent="0.3">
      <c r="A669" s="1" t="s">
        <v>752</v>
      </c>
      <c r="B669" s="1" t="s">
        <v>45</v>
      </c>
      <c r="C669" s="1" t="s">
        <v>46</v>
      </c>
      <c r="D669" s="1" t="s">
        <v>20</v>
      </c>
      <c r="E669" s="1" t="s">
        <v>21</v>
      </c>
      <c r="F669">
        <v>65</v>
      </c>
      <c r="G669" t="s">
        <v>71</v>
      </c>
      <c r="H669" s="2">
        <v>36798</v>
      </c>
      <c r="I669">
        <v>67837</v>
      </c>
      <c r="J669">
        <v>0</v>
      </c>
      <c r="K669">
        <v>67837</v>
      </c>
      <c r="L669" s="1" t="s">
        <v>23</v>
      </c>
      <c r="M669" s="1" t="s">
        <v>55</v>
      </c>
      <c r="N669" s="2"/>
      <c r="O669">
        <v>668</v>
      </c>
      <c r="P669">
        <v>0</v>
      </c>
      <c r="Q669" t="s">
        <v>25</v>
      </c>
      <c r="R669">
        <f ca="1">DATEDIF(EMP_RAW_Data[[#This Row],[Hire Date]],IF(EMP_RAW_Data[[#This Row],[Exit Date]]="",TODAY(),EMP_RAW_Data[[#This Row],[Exit Date]]),"Y")</f>
        <v>25</v>
      </c>
      <c r="S669" t="str">
        <f>IF(EMP_RAW_Data[[#This Row],[Status]]=1,"Inactive","Active")</f>
        <v>Active</v>
      </c>
    </row>
    <row r="670" spans="1:19" hidden="1" x14ac:dyDescent="0.3">
      <c r="A670" s="1" t="s">
        <v>753</v>
      </c>
      <c r="B670" s="1" t="s">
        <v>96</v>
      </c>
      <c r="C670" s="1" t="s">
        <v>46</v>
      </c>
      <c r="D670" s="1" t="s">
        <v>20</v>
      </c>
      <c r="E670" s="1" t="s">
        <v>29</v>
      </c>
      <c r="F670">
        <v>41</v>
      </c>
      <c r="G670" t="s">
        <v>59</v>
      </c>
      <c r="H670" s="2">
        <v>40333</v>
      </c>
      <c r="I670">
        <v>72425</v>
      </c>
      <c r="J670">
        <v>0</v>
      </c>
      <c r="K670">
        <v>72425</v>
      </c>
      <c r="L670" s="1" t="s">
        <v>30</v>
      </c>
      <c r="M670" s="1" t="s">
        <v>90</v>
      </c>
      <c r="N670" s="2"/>
      <c r="O670">
        <v>669</v>
      </c>
      <c r="P670">
        <v>0</v>
      </c>
      <c r="Q670" t="s">
        <v>25</v>
      </c>
      <c r="R670">
        <f ca="1">DATEDIF(EMP_RAW_Data[[#This Row],[Hire Date]],IF(EMP_RAW_Data[[#This Row],[Exit Date]]="",TODAY(),EMP_RAW_Data[[#This Row],[Exit Date]]),"Y")</f>
        <v>15</v>
      </c>
      <c r="S670" t="str">
        <f>IF(EMP_RAW_Data[[#This Row],[Status]]=1,"Inactive","Active")</f>
        <v>Active</v>
      </c>
    </row>
    <row r="671" spans="1:19" hidden="1" x14ac:dyDescent="0.3">
      <c r="A671" s="1" t="s">
        <v>754</v>
      </c>
      <c r="B671" s="1" t="s">
        <v>42</v>
      </c>
      <c r="C671" s="1" t="s">
        <v>46</v>
      </c>
      <c r="D671" s="1" t="s">
        <v>47</v>
      </c>
      <c r="E671" s="1" t="s">
        <v>21</v>
      </c>
      <c r="F671">
        <v>52</v>
      </c>
      <c r="G671" t="s">
        <v>36</v>
      </c>
      <c r="H671" s="2">
        <v>34623</v>
      </c>
      <c r="I671">
        <v>93103</v>
      </c>
      <c r="J671">
        <v>0</v>
      </c>
      <c r="K671">
        <v>93103</v>
      </c>
      <c r="L671" s="1" t="s">
        <v>23</v>
      </c>
      <c r="M671" s="1" t="s">
        <v>43</v>
      </c>
      <c r="N671" s="2"/>
      <c r="O671">
        <v>670</v>
      </c>
      <c r="P671">
        <v>0</v>
      </c>
      <c r="Q671" t="s">
        <v>25</v>
      </c>
      <c r="R671">
        <f ca="1">DATEDIF(EMP_RAW_Data[[#This Row],[Hire Date]],IF(EMP_RAW_Data[[#This Row],[Exit Date]]="",TODAY(),EMP_RAW_Data[[#This Row],[Exit Date]]),"Y")</f>
        <v>31</v>
      </c>
      <c r="S671" t="str">
        <f>IF(EMP_RAW_Data[[#This Row],[Status]]=1,"Inactive","Active")</f>
        <v>Active</v>
      </c>
    </row>
    <row r="672" spans="1:19" x14ac:dyDescent="0.3">
      <c r="A672" s="1" t="s">
        <v>755</v>
      </c>
      <c r="B672" s="1" t="s">
        <v>61</v>
      </c>
      <c r="C672" s="1" t="s">
        <v>62</v>
      </c>
      <c r="D672" s="1" t="s">
        <v>47</v>
      </c>
      <c r="E672" s="1" t="s">
        <v>21</v>
      </c>
      <c r="F672">
        <v>56</v>
      </c>
      <c r="G672" t="s">
        <v>22</v>
      </c>
      <c r="H672" s="2">
        <v>42291</v>
      </c>
      <c r="I672">
        <v>76272</v>
      </c>
      <c r="J672">
        <v>0</v>
      </c>
      <c r="K672">
        <v>76272</v>
      </c>
      <c r="L672" s="1" t="s">
        <v>23</v>
      </c>
      <c r="M672" s="1" t="s">
        <v>52</v>
      </c>
      <c r="N672" s="2">
        <v>44491</v>
      </c>
      <c r="O672">
        <v>671</v>
      </c>
      <c r="P672">
        <v>1</v>
      </c>
      <c r="Q672" t="s">
        <v>25</v>
      </c>
      <c r="R672">
        <f ca="1">DATEDIF(EMP_RAW_Data[[#This Row],[Hire Date]],IF(EMP_RAW_Data[[#This Row],[Exit Date]]="",TODAY(),EMP_RAW_Data[[#This Row],[Exit Date]]),"Y")</f>
        <v>6</v>
      </c>
      <c r="S672" t="str">
        <f>IF(EMP_RAW_Data[[#This Row],[Status]]=1,"Inactive","Active")</f>
        <v>Inactive</v>
      </c>
    </row>
    <row r="673" spans="1:19" hidden="1" x14ac:dyDescent="0.3">
      <c r="A673" s="1" t="s">
        <v>756</v>
      </c>
      <c r="B673" s="1" t="s">
        <v>96</v>
      </c>
      <c r="C673" s="1" t="s">
        <v>34</v>
      </c>
      <c r="D673" s="1" t="s">
        <v>28</v>
      </c>
      <c r="E673" s="1" t="s">
        <v>21</v>
      </c>
      <c r="F673">
        <v>48</v>
      </c>
      <c r="G673" t="s">
        <v>36</v>
      </c>
      <c r="H673" s="2">
        <v>37796</v>
      </c>
      <c r="I673">
        <v>55760</v>
      </c>
      <c r="J673">
        <v>0</v>
      </c>
      <c r="K673">
        <v>55760</v>
      </c>
      <c r="L673" s="1" t="s">
        <v>23</v>
      </c>
      <c r="M673" s="1" t="s">
        <v>55</v>
      </c>
      <c r="N673" s="2"/>
      <c r="O673">
        <v>672</v>
      </c>
      <c r="P673">
        <v>0</v>
      </c>
      <c r="Q673" t="s">
        <v>25</v>
      </c>
      <c r="R673">
        <f ca="1">DATEDIF(EMP_RAW_Data[[#This Row],[Hire Date]],IF(EMP_RAW_Data[[#This Row],[Exit Date]]="",TODAY(),EMP_RAW_Data[[#This Row],[Exit Date]]),"Y")</f>
        <v>22</v>
      </c>
      <c r="S673" t="str">
        <f>IF(EMP_RAW_Data[[#This Row],[Status]]=1,"Inactive","Active")</f>
        <v>Active</v>
      </c>
    </row>
    <row r="674" spans="1:19" hidden="1" x14ac:dyDescent="0.3">
      <c r="A674" s="1" t="s">
        <v>757</v>
      </c>
      <c r="B674" s="1" t="s">
        <v>68</v>
      </c>
      <c r="C674" s="1" t="s">
        <v>54</v>
      </c>
      <c r="D674" s="1" t="s">
        <v>47</v>
      </c>
      <c r="E674" s="1" t="s">
        <v>21</v>
      </c>
      <c r="F674">
        <v>36</v>
      </c>
      <c r="G674" t="s">
        <v>59</v>
      </c>
      <c r="H674" s="2">
        <v>43843</v>
      </c>
      <c r="I674">
        <v>253294</v>
      </c>
      <c r="J674">
        <v>0.4</v>
      </c>
      <c r="K674">
        <v>354611.6</v>
      </c>
      <c r="L674" s="1" t="s">
        <v>23</v>
      </c>
      <c r="M674" s="1" t="s">
        <v>52</v>
      </c>
      <c r="N674" s="2"/>
      <c r="O674">
        <v>673</v>
      </c>
      <c r="P674">
        <v>0</v>
      </c>
      <c r="Q674" t="s">
        <v>25</v>
      </c>
      <c r="R674">
        <f ca="1">DATEDIF(EMP_RAW_Data[[#This Row],[Hire Date]],IF(EMP_RAW_Data[[#This Row],[Exit Date]]="",TODAY(),EMP_RAW_Data[[#This Row],[Exit Date]]),"Y")</f>
        <v>6</v>
      </c>
      <c r="S674" t="str">
        <f>IF(EMP_RAW_Data[[#This Row],[Status]]=1,"Inactive","Active")</f>
        <v>Active</v>
      </c>
    </row>
    <row r="675" spans="1:19" hidden="1" x14ac:dyDescent="0.3">
      <c r="A675" s="1" t="s">
        <v>758</v>
      </c>
      <c r="B675" s="1" t="s">
        <v>96</v>
      </c>
      <c r="C675" s="1" t="s">
        <v>34</v>
      </c>
      <c r="D675" s="1" t="s">
        <v>47</v>
      </c>
      <c r="E675" s="1" t="s">
        <v>29</v>
      </c>
      <c r="F675">
        <v>60</v>
      </c>
      <c r="G675" t="s">
        <v>22</v>
      </c>
      <c r="H675" s="2">
        <v>39310</v>
      </c>
      <c r="I675">
        <v>58671</v>
      </c>
      <c r="J675">
        <v>0</v>
      </c>
      <c r="K675">
        <v>58671</v>
      </c>
      <c r="L675" s="1" t="s">
        <v>23</v>
      </c>
      <c r="M675" s="1" t="s">
        <v>74</v>
      </c>
      <c r="N675" s="2"/>
      <c r="O675">
        <v>674</v>
      </c>
      <c r="P675">
        <v>0</v>
      </c>
      <c r="Q675" t="s">
        <v>25</v>
      </c>
      <c r="R675">
        <f ca="1">DATEDIF(EMP_RAW_Data[[#This Row],[Hire Date]],IF(EMP_RAW_Data[[#This Row],[Exit Date]]="",TODAY(),EMP_RAW_Data[[#This Row],[Exit Date]]),"Y")</f>
        <v>18</v>
      </c>
      <c r="S675" t="str">
        <f>IF(EMP_RAW_Data[[#This Row],[Status]]=1,"Inactive","Active")</f>
        <v>Active</v>
      </c>
    </row>
    <row r="676" spans="1:19" hidden="1" x14ac:dyDescent="0.3">
      <c r="A676" s="1" t="s">
        <v>759</v>
      </c>
      <c r="B676" s="1" t="s">
        <v>45</v>
      </c>
      <c r="C676" s="1" t="s">
        <v>46</v>
      </c>
      <c r="D676" s="1" t="s">
        <v>20</v>
      </c>
      <c r="E676" s="1" t="s">
        <v>21</v>
      </c>
      <c r="F676">
        <v>40</v>
      </c>
      <c r="G676" t="s">
        <v>59</v>
      </c>
      <c r="H676" s="2">
        <v>43175</v>
      </c>
      <c r="I676">
        <v>55457</v>
      </c>
      <c r="J676">
        <v>0</v>
      </c>
      <c r="K676">
        <v>55457</v>
      </c>
      <c r="L676" s="1" t="s">
        <v>23</v>
      </c>
      <c r="M676" s="1" t="s">
        <v>74</v>
      </c>
      <c r="N676" s="2"/>
      <c r="O676">
        <v>675</v>
      </c>
      <c r="P676">
        <v>0</v>
      </c>
      <c r="Q676" t="s">
        <v>25</v>
      </c>
      <c r="R676">
        <f ca="1">DATEDIF(EMP_RAW_Data[[#This Row],[Hire Date]],IF(EMP_RAW_Data[[#This Row],[Exit Date]]="",TODAY(),EMP_RAW_Data[[#This Row],[Exit Date]]),"Y")</f>
        <v>8</v>
      </c>
      <c r="S676" t="str">
        <f>IF(EMP_RAW_Data[[#This Row],[Status]]=1,"Inactive","Active")</f>
        <v>Active</v>
      </c>
    </row>
    <row r="677" spans="1:19" x14ac:dyDescent="0.3">
      <c r="A677" s="1" t="s">
        <v>760</v>
      </c>
      <c r="B677" s="1" t="s">
        <v>45</v>
      </c>
      <c r="C677" s="1" t="s">
        <v>46</v>
      </c>
      <c r="D677" s="1" t="s">
        <v>28</v>
      </c>
      <c r="E677" s="1" t="s">
        <v>21</v>
      </c>
      <c r="F677">
        <v>63</v>
      </c>
      <c r="G677" t="s">
        <v>22</v>
      </c>
      <c r="H677" s="2">
        <v>43004</v>
      </c>
      <c r="I677">
        <v>72340</v>
      </c>
      <c r="J677">
        <v>0</v>
      </c>
      <c r="K677">
        <v>72340</v>
      </c>
      <c r="L677" s="1" t="s">
        <v>23</v>
      </c>
      <c r="M677" s="1" t="s">
        <v>43</v>
      </c>
      <c r="N677" s="2">
        <v>43558</v>
      </c>
      <c r="O677">
        <v>676</v>
      </c>
      <c r="P677">
        <v>1</v>
      </c>
      <c r="Q677" t="s">
        <v>25</v>
      </c>
      <c r="R677">
        <f ca="1">DATEDIF(EMP_RAW_Data[[#This Row],[Hire Date]],IF(EMP_RAW_Data[[#This Row],[Exit Date]]="",TODAY(),EMP_RAW_Data[[#This Row],[Exit Date]]),"Y")</f>
        <v>1</v>
      </c>
      <c r="S677" t="str">
        <f>IF(EMP_RAW_Data[[#This Row],[Status]]=1,"Inactive","Active")</f>
        <v>Inactive</v>
      </c>
    </row>
    <row r="678" spans="1:19" hidden="1" x14ac:dyDescent="0.3">
      <c r="A678" s="1" t="s">
        <v>761</v>
      </c>
      <c r="B678" s="1" t="s">
        <v>49</v>
      </c>
      <c r="C678" s="1" t="s">
        <v>69</v>
      </c>
      <c r="D678" s="1" t="s">
        <v>47</v>
      </c>
      <c r="E678" s="1" t="s">
        <v>21</v>
      </c>
      <c r="F678">
        <v>29</v>
      </c>
      <c r="G678" t="s">
        <v>40</v>
      </c>
      <c r="H678" s="2">
        <v>42676</v>
      </c>
      <c r="I678">
        <v>122054</v>
      </c>
      <c r="J678">
        <v>0.06</v>
      </c>
      <c r="K678">
        <v>129377.24</v>
      </c>
      <c r="L678" s="1" t="s">
        <v>23</v>
      </c>
      <c r="M678" s="1" t="s">
        <v>43</v>
      </c>
      <c r="N678" s="2"/>
      <c r="O678">
        <v>677</v>
      </c>
      <c r="P678">
        <v>0</v>
      </c>
      <c r="Q678" t="s">
        <v>25</v>
      </c>
      <c r="R678">
        <f ca="1">DATEDIF(EMP_RAW_Data[[#This Row],[Hire Date]],IF(EMP_RAW_Data[[#This Row],[Exit Date]]="",TODAY(),EMP_RAW_Data[[#This Row],[Exit Date]]),"Y")</f>
        <v>9</v>
      </c>
      <c r="S678" t="str">
        <f>IF(EMP_RAW_Data[[#This Row],[Status]]=1,"Inactive","Active")</f>
        <v>Active</v>
      </c>
    </row>
    <row r="679" spans="1:19" hidden="1" x14ac:dyDescent="0.3">
      <c r="A679" s="1" t="s">
        <v>762</v>
      </c>
      <c r="B679" s="1" t="s">
        <v>33</v>
      </c>
      <c r="C679" s="1" t="s">
        <v>19</v>
      </c>
      <c r="D679" s="1" t="s">
        <v>28</v>
      </c>
      <c r="E679" s="1" t="s">
        <v>21</v>
      </c>
      <c r="F679">
        <v>27</v>
      </c>
      <c r="G679" t="s">
        <v>40</v>
      </c>
      <c r="H679" s="2">
        <v>43103</v>
      </c>
      <c r="I679">
        <v>167100</v>
      </c>
      <c r="J679">
        <v>0.2</v>
      </c>
      <c r="K679">
        <v>200520</v>
      </c>
      <c r="L679" s="1" t="s">
        <v>30</v>
      </c>
      <c r="M679" s="1" t="s">
        <v>102</v>
      </c>
      <c r="N679" s="2"/>
      <c r="O679">
        <v>678</v>
      </c>
      <c r="P679">
        <v>0</v>
      </c>
      <c r="Q679" t="s">
        <v>25</v>
      </c>
      <c r="R679">
        <f ca="1">DATEDIF(EMP_RAW_Data[[#This Row],[Hire Date]],IF(EMP_RAW_Data[[#This Row],[Exit Date]]="",TODAY(),EMP_RAW_Data[[#This Row],[Exit Date]]),"Y")</f>
        <v>8</v>
      </c>
      <c r="S679" t="str">
        <f>IF(EMP_RAW_Data[[#This Row],[Status]]=1,"Inactive","Active")</f>
        <v>Active</v>
      </c>
    </row>
    <row r="680" spans="1:19" hidden="1" x14ac:dyDescent="0.3">
      <c r="A680" s="1" t="s">
        <v>763</v>
      </c>
      <c r="B680" s="1" t="s">
        <v>27</v>
      </c>
      <c r="C680" s="1" t="s">
        <v>19</v>
      </c>
      <c r="D680" s="1" t="s">
        <v>47</v>
      </c>
      <c r="E680" s="1" t="s">
        <v>21</v>
      </c>
      <c r="F680">
        <v>53</v>
      </c>
      <c r="G680" t="s">
        <v>36</v>
      </c>
      <c r="H680" s="2">
        <v>35543</v>
      </c>
      <c r="I680">
        <v>78153</v>
      </c>
      <c r="J680">
        <v>0</v>
      </c>
      <c r="K680">
        <v>78153</v>
      </c>
      <c r="L680" s="1" t="s">
        <v>23</v>
      </c>
      <c r="M680" s="1" t="s">
        <v>52</v>
      </c>
      <c r="N680" s="2"/>
      <c r="O680">
        <v>679</v>
      </c>
      <c r="P680">
        <v>0</v>
      </c>
      <c r="Q680" t="s">
        <v>25</v>
      </c>
      <c r="R680">
        <f ca="1">DATEDIF(EMP_RAW_Data[[#This Row],[Hire Date]],IF(EMP_RAW_Data[[#This Row],[Exit Date]]="",TODAY(),EMP_RAW_Data[[#This Row],[Exit Date]]),"Y")</f>
        <v>28</v>
      </c>
      <c r="S680" t="str">
        <f>IF(EMP_RAW_Data[[#This Row],[Status]]=1,"Inactive","Active")</f>
        <v>Active</v>
      </c>
    </row>
    <row r="681" spans="1:19" hidden="1" x14ac:dyDescent="0.3">
      <c r="A681" s="1" t="s">
        <v>764</v>
      </c>
      <c r="B681" s="1" t="s">
        <v>49</v>
      </c>
      <c r="C681" s="1" t="s">
        <v>34</v>
      </c>
      <c r="D681" s="1" t="s">
        <v>28</v>
      </c>
      <c r="E681" s="1" t="s">
        <v>21</v>
      </c>
      <c r="F681">
        <v>37</v>
      </c>
      <c r="G681" t="s">
        <v>59</v>
      </c>
      <c r="H681" s="2">
        <v>43935</v>
      </c>
      <c r="I681">
        <v>103524</v>
      </c>
      <c r="J681">
        <v>0.09</v>
      </c>
      <c r="K681">
        <v>112841.16</v>
      </c>
      <c r="L681" s="1" t="s">
        <v>23</v>
      </c>
      <c r="M681" s="1" t="s">
        <v>43</v>
      </c>
      <c r="N681" s="2"/>
      <c r="O681">
        <v>680</v>
      </c>
      <c r="P681">
        <v>0</v>
      </c>
      <c r="Q681" t="s">
        <v>25</v>
      </c>
      <c r="R681">
        <f ca="1">DATEDIF(EMP_RAW_Data[[#This Row],[Hire Date]],IF(EMP_RAW_Data[[#This Row],[Exit Date]]="",TODAY(),EMP_RAW_Data[[#This Row],[Exit Date]]),"Y")</f>
        <v>5</v>
      </c>
      <c r="S681" t="str">
        <f>IF(EMP_RAW_Data[[#This Row],[Status]]=1,"Inactive","Active")</f>
        <v>Active</v>
      </c>
    </row>
    <row r="682" spans="1:19" hidden="1" x14ac:dyDescent="0.3">
      <c r="A682" s="1" t="s">
        <v>765</v>
      </c>
      <c r="B682" s="1" t="s">
        <v>49</v>
      </c>
      <c r="C682" s="1" t="s">
        <v>19</v>
      </c>
      <c r="D682" s="1" t="s">
        <v>47</v>
      </c>
      <c r="E682" s="1" t="s">
        <v>29</v>
      </c>
      <c r="F682">
        <v>30</v>
      </c>
      <c r="G682" t="s">
        <v>40</v>
      </c>
      <c r="H682" s="2">
        <v>42952</v>
      </c>
      <c r="I682">
        <v>119906</v>
      </c>
      <c r="J682">
        <v>0.05</v>
      </c>
      <c r="K682">
        <v>125901.3</v>
      </c>
      <c r="L682" s="1" t="s">
        <v>23</v>
      </c>
      <c r="M682" s="1" t="s">
        <v>74</v>
      </c>
      <c r="N682" s="2"/>
      <c r="O682">
        <v>681</v>
      </c>
      <c r="P682">
        <v>0</v>
      </c>
      <c r="Q682" t="s">
        <v>25</v>
      </c>
      <c r="R682">
        <f ca="1">DATEDIF(EMP_RAW_Data[[#This Row],[Hire Date]],IF(EMP_RAW_Data[[#This Row],[Exit Date]]="",TODAY(),EMP_RAW_Data[[#This Row],[Exit Date]]),"Y")</f>
        <v>8</v>
      </c>
      <c r="S682" t="str">
        <f>IF(EMP_RAW_Data[[#This Row],[Status]]=1,"Inactive","Active")</f>
        <v>Active</v>
      </c>
    </row>
    <row r="683" spans="1:19" hidden="1" x14ac:dyDescent="0.3">
      <c r="A683" s="1" t="s">
        <v>766</v>
      </c>
      <c r="B683" s="1" t="s">
        <v>51</v>
      </c>
      <c r="C683" s="1" t="s">
        <v>69</v>
      </c>
      <c r="D683" s="1" t="s">
        <v>35</v>
      </c>
      <c r="E683" s="1" t="s">
        <v>21</v>
      </c>
      <c r="F683">
        <v>28</v>
      </c>
      <c r="G683" t="s">
        <v>40</v>
      </c>
      <c r="H683" s="2">
        <v>43847</v>
      </c>
      <c r="I683">
        <v>45061</v>
      </c>
      <c r="J683">
        <v>0</v>
      </c>
      <c r="K683">
        <v>45061</v>
      </c>
      <c r="L683" s="1" t="s">
        <v>23</v>
      </c>
      <c r="M683" s="1" t="s">
        <v>52</v>
      </c>
      <c r="N683" s="2"/>
      <c r="O683">
        <v>682</v>
      </c>
      <c r="P683">
        <v>0</v>
      </c>
      <c r="Q683" t="s">
        <v>25</v>
      </c>
      <c r="R683">
        <f ca="1">DATEDIF(EMP_RAW_Data[[#This Row],[Hire Date]],IF(EMP_RAW_Data[[#This Row],[Exit Date]]="",TODAY(),EMP_RAW_Data[[#This Row],[Exit Date]]),"Y")</f>
        <v>6</v>
      </c>
      <c r="S683" t="str">
        <f>IF(EMP_RAW_Data[[#This Row],[Status]]=1,"Inactive","Active")</f>
        <v>Active</v>
      </c>
    </row>
    <row r="684" spans="1:19" hidden="1" x14ac:dyDescent="0.3">
      <c r="A684" s="1" t="s">
        <v>767</v>
      </c>
      <c r="B684" s="1" t="s">
        <v>267</v>
      </c>
      <c r="C684" s="1" t="s">
        <v>19</v>
      </c>
      <c r="D684" s="1" t="s">
        <v>47</v>
      </c>
      <c r="E684" s="1" t="s">
        <v>29</v>
      </c>
      <c r="F684">
        <v>51</v>
      </c>
      <c r="G684" t="s">
        <v>36</v>
      </c>
      <c r="H684" s="2">
        <v>37638</v>
      </c>
      <c r="I684">
        <v>91399</v>
      </c>
      <c r="J684">
        <v>0</v>
      </c>
      <c r="K684">
        <v>91399</v>
      </c>
      <c r="L684" s="1" t="s">
        <v>23</v>
      </c>
      <c r="M684" s="1" t="s">
        <v>24</v>
      </c>
      <c r="N684" s="2"/>
      <c r="O684">
        <v>683</v>
      </c>
      <c r="P684">
        <v>0</v>
      </c>
      <c r="Q684" t="s">
        <v>25</v>
      </c>
      <c r="R684">
        <f ca="1">DATEDIF(EMP_RAW_Data[[#This Row],[Hire Date]],IF(EMP_RAW_Data[[#This Row],[Exit Date]]="",TODAY(),EMP_RAW_Data[[#This Row],[Exit Date]]),"Y")</f>
        <v>23</v>
      </c>
      <c r="S684" t="str">
        <f>IF(EMP_RAW_Data[[#This Row],[Status]]=1,"Inactive","Active")</f>
        <v>Active</v>
      </c>
    </row>
    <row r="685" spans="1:19" hidden="1" x14ac:dyDescent="0.3">
      <c r="A685" s="1" t="s">
        <v>768</v>
      </c>
      <c r="B685" s="1" t="s">
        <v>100</v>
      </c>
      <c r="C685" s="1" t="s">
        <v>19</v>
      </c>
      <c r="D685" s="1" t="s">
        <v>20</v>
      </c>
      <c r="E685" s="1" t="s">
        <v>29</v>
      </c>
      <c r="F685">
        <v>28</v>
      </c>
      <c r="G685" t="s">
        <v>40</v>
      </c>
      <c r="H685" s="2">
        <v>43006</v>
      </c>
      <c r="I685">
        <v>97336</v>
      </c>
      <c r="J685">
        <v>0</v>
      </c>
      <c r="K685">
        <v>97336</v>
      </c>
      <c r="L685" s="1" t="s">
        <v>23</v>
      </c>
      <c r="M685" s="1" t="s">
        <v>55</v>
      </c>
      <c r="N685" s="2"/>
      <c r="O685">
        <v>684</v>
      </c>
      <c r="P685">
        <v>0</v>
      </c>
      <c r="Q685" t="s">
        <v>25</v>
      </c>
      <c r="R685">
        <f ca="1">DATEDIF(EMP_RAW_Data[[#This Row],[Hire Date]],IF(EMP_RAW_Data[[#This Row],[Exit Date]]="",TODAY(),EMP_RAW_Data[[#This Row],[Exit Date]]),"Y")</f>
        <v>8</v>
      </c>
      <c r="S685" t="str">
        <f>IF(EMP_RAW_Data[[#This Row],[Status]]=1,"Inactive","Active")</f>
        <v>Active</v>
      </c>
    </row>
    <row r="686" spans="1:19" hidden="1" x14ac:dyDescent="0.3">
      <c r="A686" s="1" t="s">
        <v>769</v>
      </c>
      <c r="B686" s="1" t="s">
        <v>18</v>
      </c>
      <c r="C686" s="1" t="s">
        <v>54</v>
      </c>
      <c r="D686" s="1" t="s">
        <v>47</v>
      </c>
      <c r="E686" s="1" t="s">
        <v>21</v>
      </c>
      <c r="F686">
        <v>31</v>
      </c>
      <c r="G686" t="s">
        <v>40</v>
      </c>
      <c r="H686" s="2">
        <v>42755</v>
      </c>
      <c r="I686">
        <v>124629</v>
      </c>
      <c r="J686">
        <v>0.1</v>
      </c>
      <c r="K686">
        <v>137091.9</v>
      </c>
      <c r="L686" s="1" t="s">
        <v>23</v>
      </c>
      <c r="M686" s="1" t="s">
        <v>74</v>
      </c>
      <c r="N686" s="2"/>
      <c r="O686">
        <v>685</v>
      </c>
      <c r="P686">
        <v>0</v>
      </c>
      <c r="Q686" t="s">
        <v>25</v>
      </c>
      <c r="R686">
        <f ca="1">DATEDIF(EMP_RAW_Data[[#This Row],[Hire Date]],IF(EMP_RAW_Data[[#This Row],[Exit Date]]="",TODAY(),EMP_RAW_Data[[#This Row],[Exit Date]]),"Y")</f>
        <v>9</v>
      </c>
      <c r="S686" t="str">
        <f>IF(EMP_RAW_Data[[#This Row],[Status]]=1,"Inactive","Active")</f>
        <v>Active</v>
      </c>
    </row>
    <row r="687" spans="1:19" hidden="1" x14ac:dyDescent="0.3">
      <c r="A687" s="1" t="s">
        <v>770</v>
      </c>
      <c r="B687" s="1" t="s">
        <v>68</v>
      </c>
      <c r="C687" s="1" t="s">
        <v>58</v>
      </c>
      <c r="D687" s="1" t="s">
        <v>35</v>
      </c>
      <c r="E687" s="1" t="s">
        <v>21</v>
      </c>
      <c r="F687">
        <v>28</v>
      </c>
      <c r="G687" t="s">
        <v>40</v>
      </c>
      <c r="H687" s="2">
        <v>44402</v>
      </c>
      <c r="I687">
        <v>231850</v>
      </c>
      <c r="J687">
        <v>0.39</v>
      </c>
      <c r="K687">
        <v>322271.5</v>
      </c>
      <c r="L687" s="1" t="s">
        <v>23</v>
      </c>
      <c r="M687" s="1" t="s">
        <v>52</v>
      </c>
      <c r="N687" s="2"/>
      <c r="O687">
        <v>686</v>
      </c>
      <c r="P687">
        <v>0</v>
      </c>
      <c r="Q687" t="s">
        <v>25</v>
      </c>
      <c r="R687">
        <f ca="1">DATEDIF(EMP_RAW_Data[[#This Row],[Hire Date]],IF(EMP_RAW_Data[[#This Row],[Exit Date]]="",TODAY(),EMP_RAW_Data[[#This Row],[Exit Date]]),"Y")</f>
        <v>4</v>
      </c>
      <c r="S687" t="str">
        <f>IF(EMP_RAW_Data[[#This Row],[Status]]=1,"Inactive","Active")</f>
        <v>Active</v>
      </c>
    </row>
    <row r="688" spans="1:19" hidden="1" x14ac:dyDescent="0.3">
      <c r="A688" s="1" t="s">
        <v>771</v>
      </c>
      <c r="B688" s="1" t="s">
        <v>49</v>
      </c>
      <c r="C688" s="1" t="s">
        <v>54</v>
      </c>
      <c r="D688" s="1" t="s">
        <v>20</v>
      </c>
      <c r="E688" s="1" t="s">
        <v>29</v>
      </c>
      <c r="F688">
        <v>34</v>
      </c>
      <c r="G688" t="s">
        <v>40</v>
      </c>
      <c r="H688" s="2">
        <v>43255</v>
      </c>
      <c r="I688">
        <v>128329</v>
      </c>
      <c r="J688">
        <v>0.08</v>
      </c>
      <c r="K688">
        <v>138595.32</v>
      </c>
      <c r="L688" s="1" t="s">
        <v>23</v>
      </c>
      <c r="M688" s="1" t="s">
        <v>43</v>
      </c>
      <c r="N688" s="2"/>
      <c r="O688">
        <v>687</v>
      </c>
      <c r="P688">
        <v>0</v>
      </c>
      <c r="Q688" t="s">
        <v>25</v>
      </c>
      <c r="R688">
        <f ca="1">DATEDIF(EMP_RAW_Data[[#This Row],[Hire Date]],IF(EMP_RAW_Data[[#This Row],[Exit Date]]="",TODAY(),EMP_RAW_Data[[#This Row],[Exit Date]]),"Y")</f>
        <v>7</v>
      </c>
      <c r="S688" t="str">
        <f>IF(EMP_RAW_Data[[#This Row],[Status]]=1,"Inactive","Active")</f>
        <v>Active</v>
      </c>
    </row>
    <row r="689" spans="1:19" hidden="1" x14ac:dyDescent="0.3">
      <c r="A689" s="1" t="s">
        <v>772</v>
      </c>
      <c r="B689" s="1" t="s">
        <v>68</v>
      </c>
      <c r="C689" s="1" t="s">
        <v>69</v>
      </c>
      <c r="D689" s="1" t="s">
        <v>35</v>
      </c>
      <c r="E689" s="1" t="s">
        <v>29</v>
      </c>
      <c r="F689">
        <v>44</v>
      </c>
      <c r="G689" t="s">
        <v>59</v>
      </c>
      <c r="H689" s="2">
        <v>44283</v>
      </c>
      <c r="I689">
        <v>186033</v>
      </c>
      <c r="J689">
        <v>0.34</v>
      </c>
      <c r="K689">
        <v>249284.22</v>
      </c>
      <c r="L689" s="1" t="s">
        <v>77</v>
      </c>
      <c r="M689" s="1" t="s">
        <v>148</v>
      </c>
      <c r="N689" s="2"/>
      <c r="O689">
        <v>688</v>
      </c>
      <c r="P689">
        <v>0</v>
      </c>
      <c r="Q689" t="s">
        <v>25</v>
      </c>
      <c r="R689">
        <f ca="1">DATEDIF(EMP_RAW_Data[[#This Row],[Hire Date]],IF(EMP_RAW_Data[[#This Row],[Exit Date]]="",TODAY(),EMP_RAW_Data[[#This Row],[Exit Date]]),"Y")</f>
        <v>4</v>
      </c>
      <c r="S689" t="str">
        <f>IF(EMP_RAW_Data[[#This Row],[Status]]=1,"Inactive","Active")</f>
        <v>Active</v>
      </c>
    </row>
    <row r="690" spans="1:19" hidden="1" x14ac:dyDescent="0.3">
      <c r="A690" s="1" t="s">
        <v>773</v>
      </c>
      <c r="B690" s="1" t="s">
        <v>18</v>
      </c>
      <c r="C690" s="1" t="s">
        <v>69</v>
      </c>
      <c r="D690" s="1" t="s">
        <v>28</v>
      </c>
      <c r="E690" s="1" t="s">
        <v>29</v>
      </c>
      <c r="F690">
        <v>60</v>
      </c>
      <c r="G690" t="s">
        <v>22</v>
      </c>
      <c r="H690" s="2">
        <v>44403</v>
      </c>
      <c r="I690">
        <v>121480</v>
      </c>
      <c r="J690">
        <v>0.14000000000000001</v>
      </c>
      <c r="K690">
        <v>138487.20000000001</v>
      </c>
      <c r="L690" s="1" t="s">
        <v>23</v>
      </c>
      <c r="M690" s="1" t="s">
        <v>43</v>
      </c>
      <c r="N690" s="2"/>
      <c r="O690">
        <v>689</v>
      </c>
      <c r="P690">
        <v>0</v>
      </c>
      <c r="Q690" t="s">
        <v>25</v>
      </c>
      <c r="R690">
        <f ca="1">DATEDIF(EMP_RAW_Data[[#This Row],[Hire Date]],IF(EMP_RAW_Data[[#This Row],[Exit Date]]="",TODAY(),EMP_RAW_Data[[#This Row],[Exit Date]]),"Y")</f>
        <v>4</v>
      </c>
      <c r="S690" t="str">
        <f>IF(EMP_RAW_Data[[#This Row],[Status]]=1,"Inactive","Active")</f>
        <v>Active</v>
      </c>
    </row>
    <row r="691" spans="1:19" hidden="1" x14ac:dyDescent="0.3">
      <c r="A691" s="1" t="s">
        <v>774</v>
      </c>
      <c r="B691" s="1" t="s">
        <v>33</v>
      </c>
      <c r="C691" s="1" t="s">
        <v>58</v>
      </c>
      <c r="D691" s="1" t="s">
        <v>35</v>
      </c>
      <c r="E691" s="1" t="s">
        <v>21</v>
      </c>
      <c r="F691">
        <v>41</v>
      </c>
      <c r="G691" t="s">
        <v>59</v>
      </c>
      <c r="H691" s="2">
        <v>40319</v>
      </c>
      <c r="I691">
        <v>153275</v>
      </c>
      <c r="J691">
        <v>0.24</v>
      </c>
      <c r="K691">
        <v>190061</v>
      </c>
      <c r="L691" s="1" t="s">
        <v>23</v>
      </c>
      <c r="M691" s="1" t="s">
        <v>74</v>
      </c>
      <c r="N691" s="2"/>
      <c r="O691">
        <v>690</v>
      </c>
      <c r="P691">
        <v>0</v>
      </c>
      <c r="Q691" t="s">
        <v>25</v>
      </c>
      <c r="R691">
        <f ca="1">DATEDIF(EMP_RAW_Data[[#This Row],[Hire Date]],IF(EMP_RAW_Data[[#This Row],[Exit Date]]="",TODAY(),EMP_RAW_Data[[#This Row],[Exit Date]]),"Y")</f>
        <v>15</v>
      </c>
      <c r="S691" t="str">
        <f>IF(EMP_RAW_Data[[#This Row],[Status]]=1,"Inactive","Active")</f>
        <v>Active</v>
      </c>
    </row>
    <row r="692" spans="1:19" hidden="1" x14ac:dyDescent="0.3">
      <c r="A692" s="1" t="s">
        <v>775</v>
      </c>
      <c r="B692" s="1" t="s">
        <v>42</v>
      </c>
      <c r="C692" s="1" t="s">
        <v>46</v>
      </c>
      <c r="D692" s="1" t="s">
        <v>20</v>
      </c>
      <c r="E692" s="1" t="s">
        <v>21</v>
      </c>
      <c r="F692">
        <v>62</v>
      </c>
      <c r="G692" t="s">
        <v>22</v>
      </c>
      <c r="H692" s="2">
        <v>43969</v>
      </c>
      <c r="I692">
        <v>97830</v>
      </c>
      <c r="J692">
        <v>0</v>
      </c>
      <c r="K692">
        <v>97830</v>
      </c>
      <c r="L692" s="1" t="s">
        <v>23</v>
      </c>
      <c r="M692" s="1" t="s">
        <v>55</v>
      </c>
      <c r="N692" s="2"/>
      <c r="O692">
        <v>691</v>
      </c>
      <c r="P692">
        <v>0</v>
      </c>
      <c r="Q692" t="s">
        <v>25</v>
      </c>
      <c r="R692">
        <f ca="1">DATEDIF(EMP_RAW_Data[[#This Row],[Hire Date]],IF(EMP_RAW_Data[[#This Row],[Exit Date]]="",TODAY(),EMP_RAW_Data[[#This Row],[Exit Date]]),"Y")</f>
        <v>5</v>
      </c>
      <c r="S692" t="str">
        <f>IF(EMP_RAW_Data[[#This Row],[Status]]=1,"Inactive","Active")</f>
        <v>Active</v>
      </c>
    </row>
    <row r="693" spans="1:19" hidden="1" x14ac:dyDescent="0.3">
      <c r="A693" s="1" t="s">
        <v>776</v>
      </c>
      <c r="B693" s="1" t="s">
        <v>68</v>
      </c>
      <c r="C693" s="1" t="s">
        <v>69</v>
      </c>
      <c r="D693" s="1" t="s">
        <v>47</v>
      </c>
      <c r="E693" s="1" t="s">
        <v>21</v>
      </c>
      <c r="F693">
        <v>47</v>
      </c>
      <c r="G693" t="s">
        <v>36</v>
      </c>
      <c r="H693" s="2">
        <v>36232</v>
      </c>
      <c r="I693">
        <v>239394</v>
      </c>
      <c r="J693">
        <v>0.32</v>
      </c>
      <c r="K693">
        <v>316000.08</v>
      </c>
      <c r="L693" s="1" t="s">
        <v>23</v>
      </c>
      <c r="M693" s="1" t="s">
        <v>55</v>
      </c>
      <c r="N693" s="2"/>
      <c r="O693">
        <v>692</v>
      </c>
      <c r="P693">
        <v>0</v>
      </c>
      <c r="Q693" t="s">
        <v>25</v>
      </c>
      <c r="R693">
        <f ca="1">DATEDIF(EMP_RAW_Data[[#This Row],[Hire Date]],IF(EMP_RAW_Data[[#This Row],[Exit Date]]="",TODAY(),EMP_RAW_Data[[#This Row],[Exit Date]]),"Y")</f>
        <v>27</v>
      </c>
      <c r="S693" t="str">
        <f>IF(EMP_RAW_Data[[#This Row],[Status]]=1,"Inactive","Active")</f>
        <v>Active</v>
      </c>
    </row>
    <row r="694" spans="1:19" hidden="1" x14ac:dyDescent="0.3">
      <c r="A694" s="1" t="s">
        <v>777</v>
      </c>
      <c r="B694" s="1" t="s">
        <v>51</v>
      </c>
      <c r="C694" s="1" t="s">
        <v>34</v>
      </c>
      <c r="D694" s="1" t="s">
        <v>35</v>
      </c>
      <c r="E694" s="1" t="s">
        <v>21</v>
      </c>
      <c r="F694">
        <v>62</v>
      </c>
      <c r="G694" t="s">
        <v>22</v>
      </c>
      <c r="H694" s="2">
        <v>37519</v>
      </c>
      <c r="I694">
        <v>49738</v>
      </c>
      <c r="J694">
        <v>0</v>
      </c>
      <c r="K694">
        <v>49738</v>
      </c>
      <c r="L694" s="1" t="s">
        <v>30</v>
      </c>
      <c r="M694" s="1" t="s">
        <v>90</v>
      </c>
      <c r="N694" s="2"/>
      <c r="O694">
        <v>693</v>
      </c>
      <c r="P694">
        <v>0</v>
      </c>
      <c r="Q694" t="s">
        <v>25</v>
      </c>
      <c r="R694">
        <f ca="1">DATEDIF(EMP_RAW_Data[[#This Row],[Hire Date]],IF(EMP_RAW_Data[[#This Row],[Exit Date]]="",TODAY(),EMP_RAW_Data[[#This Row],[Exit Date]]),"Y")</f>
        <v>23</v>
      </c>
      <c r="S694" t="str">
        <f>IF(EMP_RAW_Data[[#This Row],[Status]]=1,"Inactive","Active")</f>
        <v>Active</v>
      </c>
    </row>
    <row r="695" spans="1:19" hidden="1" x14ac:dyDescent="0.3">
      <c r="A695" s="1" t="s">
        <v>778</v>
      </c>
      <c r="B695" s="1" t="s">
        <v>51</v>
      </c>
      <c r="C695" s="1" t="s">
        <v>54</v>
      </c>
      <c r="D695" s="1" t="s">
        <v>28</v>
      </c>
      <c r="E695" s="1" t="s">
        <v>21</v>
      </c>
      <c r="F695">
        <v>33</v>
      </c>
      <c r="G695" t="s">
        <v>40</v>
      </c>
      <c r="H695" s="2">
        <v>43247</v>
      </c>
      <c r="I695">
        <v>45049</v>
      </c>
      <c r="J695">
        <v>0</v>
      </c>
      <c r="K695">
        <v>45049</v>
      </c>
      <c r="L695" s="1" t="s">
        <v>23</v>
      </c>
      <c r="M695" s="1" t="s">
        <v>24</v>
      </c>
      <c r="N695" s="2"/>
      <c r="O695">
        <v>694</v>
      </c>
      <c r="P695">
        <v>0</v>
      </c>
      <c r="Q695" t="s">
        <v>25</v>
      </c>
      <c r="R695">
        <f ca="1">DATEDIF(EMP_RAW_Data[[#This Row],[Hire Date]],IF(EMP_RAW_Data[[#This Row],[Exit Date]]="",TODAY(),EMP_RAW_Data[[#This Row],[Exit Date]]),"Y")</f>
        <v>7</v>
      </c>
      <c r="S695" t="str">
        <f>IF(EMP_RAW_Data[[#This Row],[Status]]=1,"Inactive","Active")</f>
        <v>Active</v>
      </c>
    </row>
    <row r="696" spans="1:19" x14ac:dyDescent="0.3">
      <c r="A696" s="1" t="s">
        <v>779</v>
      </c>
      <c r="B696" s="1" t="s">
        <v>33</v>
      </c>
      <c r="C696" s="1" t="s">
        <v>34</v>
      </c>
      <c r="D696" s="1" t="s">
        <v>20</v>
      </c>
      <c r="E696" s="1" t="s">
        <v>21</v>
      </c>
      <c r="F696">
        <v>27</v>
      </c>
      <c r="G696" t="s">
        <v>40</v>
      </c>
      <c r="H696" s="2">
        <v>43977</v>
      </c>
      <c r="I696">
        <v>153628</v>
      </c>
      <c r="J696">
        <v>0.28999999999999998</v>
      </c>
      <c r="K696">
        <v>198180.12</v>
      </c>
      <c r="L696" s="1" t="s">
        <v>30</v>
      </c>
      <c r="M696" s="1" t="s">
        <v>31</v>
      </c>
      <c r="N696" s="2">
        <v>44177</v>
      </c>
      <c r="O696">
        <v>695</v>
      </c>
      <c r="P696">
        <v>1</v>
      </c>
      <c r="Q696" t="s">
        <v>25</v>
      </c>
      <c r="R696">
        <f ca="1">DATEDIF(EMP_RAW_Data[[#This Row],[Hire Date]],IF(EMP_RAW_Data[[#This Row],[Exit Date]]="",TODAY(),EMP_RAW_Data[[#This Row],[Exit Date]]),"Y")</f>
        <v>0</v>
      </c>
      <c r="S696" t="str">
        <f>IF(EMP_RAW_Data[[#This Row],[Status]]=1,"Inactive","Active")</f>
        <v>Inactive</v>
      </c>
    </row>
    <row r="697" spans="1:19" x14ac:dyDescent="0.3">
      <c r="A697" s="1" t="s">
        <v>780</v>
      </c>
      <c r="B697" s="1" t="s">
        <v>18</v>
      </c>
      <c r="C697" s="1" t="s">
        <v>46</v>
      </c>
      <c r="D697" s="1" t="s">
        <v>28</v>
      </c>
      <c r="E697" s="1" t="s">
        <v>29</v>
      </c>
      <c r="F697">
        <v>25</v>
      </c>
      <c r="G697" t="s">
        <v>40</v>
      </c>
      <c r="H697" s="2">
        <v>44362</v>
      </c>
      <c r="I697">
        <v>142731</v>
      </c>
      <c r="J697">
        <v>0.11</v>
      </c>
      <c r="K697">
        <v>158431.41</v>
      </c>
      <c r="L697" s="1" t="s">
        <v>30</v>
      </c>
      <c r="M697" s="1" t="s">
        <v>65</v>
      </c>
      <c r="N697" s="2">
        <v>44715</v>
      </c>
      <c r="O697">
        <v>696</v>
      </c>
      <c r="P697">
        <v>1</v>
      </c>
      <c r="Q697" t="s">
        <v>25</v>
      </c>
      <c r="R697">
        <f ca="1">DATEDIF(EMP_RAW_Data[[#This Row],[Hire Date]],IF(EMP_RAW_Data[[#This Row],[Exit Date]]="",TODAY(),EMP_RAW_Data[[#This Row],[Exit Date]]),"Y")</f>
        <v>0</v>
      </c>
      <c r="S697" t="str">
        <f>IF(EMP_RAW_Data[[#This Row],[Status]]=1,"Inactive","Active")</f>
        <v>Inactive</v>
      </c>
    </row>
    <row r="698" spans="1:19" hidden="1" x14ac:dyDescent="0.3">
      <c r="A698" s="1" t="s">
        <v>781</v>
      </c>
      <c r="B698" s="1" t="s">
        <v>18</v>
      </c>
      <c r="C698" s="1" t="s">
        <v>69</v>
      </c>
      <c r="D698" s="1" t="s">
        <v>35</v>
      </c>
      <c r="E698" s="1" t="s">
        <v>21</v>
      </c>
      <c r="F698">
        <v>29</v>
      </c>
      <c r="G698" t="s">
        <v>40</v>
      </c>
      <c r="H698" s="2">
        <v>43966</v>
      </c>
      <c r="I698">
        <v>137106</v>
      </c>
      <c r="J698">
        <v>0.12</v>
      </c>
      <c r="K698">
        <v>153558.72</v>
      </c>
      <c r="L698" s="1" t="s">
        <v>77</v>
      </c>
      <c r="M698" s="1" t="s">
        <v>148</v>
      </c>
      <c r="N698" s="2"/>
      <c r="O698">
        <v>697</v>
      </c>
      <c r="P698">
        <v>0</v>
      </c>
      <c r="Q698" t="s">
        <v>25</v>
      </c>
      <c r="R698">
        <f ca="1">DATEDIF(EMP_RAW_Data[[#This Row],[Hire Date]],IF(EMP_RAW_Data[[#This Row],[Exit Date]]="",TODAY(),EMP_RAW_Data[[#This Row],[Exit Date]]),"Y")</f>
        <v>5</v>
      </c>
      <c r="S698" t="str">
        <f>IF(EMP_RAW_Data[[#This Row],[Status]]=1,"Inactive","Active")</f>
        <v>Active</v>
      </c>
    </row>
    <row r="699" spans="1:19" hidden="1" x14ac:dyDescent="0.3">
      <c r="A699" s="1" t="s">
        <v>782</v>
      </c>
      <c r="B699" s="1" t="s">
        <v>68</v>
      </c>
      <c r="C699" s="1" t="s">
        <v>34</v>
      </c>
      <c r="D699" s="1" t="s">
        <v>47</v>
      </c>
      <c r="E699" s="1" t="s">
        <v>21</v>
      </c>
      <c r="F699">
        <v>54</v>
      </c>
      <c r="G699" t="s">
        <v>36</v>
      </c>
      <c r="H699" s="2">
        <v>39330</v>
      </c>
      <c r="I699">
        <v>183239</v>
      </c>
      <c r="J699">
        <v>0.32</v>
      </c>
      <c r="K699">
        <v>241875.48</v>
      </c>
      <c r="L699" s="1" t="s">
        <v>23</v>
      </c>
      <c r="M699" s="1" t="s">
        <v>24</v>
      </c>
      <c r="N699" s="2"/>
      <c r="O699">
        <v>698</v>
      </c>
      <c r="P699">
        <v>0</v>
      </c>
      <c r="Q699" t="s">
        <v>25</v>
      </c>
      <c r="R699">
        <f ca="1">DATEDIF(EMP_RAW_Data[[#This Row],[Hire Date]],IF(EMP_RAW_Data[[#This Row],[Exit Date]]="",TODAY(),EMP_RAW_Data[[#This Row],[Exit Date]]),"Y")</f>
        <v>18</v>
      </c>
      <c r="S699" t="str">
        <f>IF(EMP_RAW_Data[[#This Row],[Status]]=1,"Inactive","Active")</f>
        <v>Active</v>
      </c>
    </row>
    <row r="700" spans="1:19" hidden="1" x14ac:dyDescent="0.3">
      <c r="A700" s="1" t="s">
        <v>783</v>
      </c>
      <c r="B700" s="1" t="s">
        <v>51</v>
      </c>
      <c r="C700" s="1" t="s">
        <v>54</v>
      </c>
      <c r="D700" s="1" t="s">
        <v>28</v>
      </c>
      <c r="E700" s="1" t="s">
        <v>21</v>
      </c>
      <c r="F700">
        <v>28</v>
      </c>
      <c r="G700" t="s">
        <v>40</v>
      </c>
      <c r="H700" s="2">
        <v>43610</v>
      </c>
      <c r="I700">
        <v>45819</v>
      </c>
      <c r="J700">
        <v>0</v>
      </c>
      <c r="K700">
        <v>45819</v>
      </c>
      <c r="L700" s="1" t="s">
        <v>23</v>
      </c>
      <c r="M700" s="1" t="s">
        <v>52</v>
      </c>
      <c r="N700" s="2"/>
      <c r="O700">
        <v>699</v>
      </c>
      <c r="P700">
        <v>0</v>
      </c>
      <c r="Q700" t="s">
        <v>25</v>
      </c>
      <c r="R700">
        <f ca="1">DATEDIF(EMP_RAW_Data[[#This Row],[Hire Date]],IF(EMP_RAW_Data[[#This Row],[Exit Date]]="",TODAY(),EMP_RAW_Data[[#This Row],[Exit Date]]),"Y")</f>
        <v>6</v>
      </c>
      <c r="S700" t="str">
        <f>IF(EMP_RAW_Data[[#This Row],[Status]]=1,"Inactive","Active")</f>
        <v>Active</v>
      </c>
    </row>
    <row r="701" spans="1:19" hidden="1" x14ac:dyDescent="0.3">
      <c r="A701" s="1" t="s">
        <v>784</v>
      </c>
      <c r="B701" s="1" t="s">
        <v>51</v>
      </c>
      <c r="C701" s="1" t="s">
        <v>54</v>
      </c>
      <c r="D701" s="1" t="s">
        <v>20</v>
      </c>
      <c r="E701" s="1" t="s">
        <v>21</v>
      </c>
      <c r="F701">
        <v>54</v>
      </c>
      <c r="G701" t="s">
        <v>36</v>
      </c>
      <c r="H701" s="2">
        <v>39080</v>
      </c>
      <c r="I701">
        <v>55518</v>
      </c>
      <c r="J701">
        <v>0</v>
      </c>
      <c r="K701">
        <v>55518</v>
      </c>
      <c r="L701" s="1" t="s">
        <v>23</v>
      </c>
      <c r="M701" s="1" t="s">
        <v>74</v>
      </c>
      <c r="N701" s="2"/>
      <c r="O701">
        <v>700</v>
      </c>
      <c r="P701">
        <v>0</v>
      </c>
      <c r="Q701" t="s">
        <v>25</v>
      </c>
      <c r="R701">
        <f ca="1">DATEDIF(EMP_RAW_Data[[#This Row],[Hire Date]],IF(EMP_RAW_Data[[#This Row],[Exit Date]]="",TODAY(),EMP_RAW_Data[[#This Row],[Exit Date]]),"Y")</f>
        <v>19</v>
      </c>
      <c r="S701" t="str">
        <f>IF(EMP_RAW_Data[[#This Row],[Status]]=1,"Inactive","Active")</f>
        <v>Active</v>
      </c>
    </row>
    <row r="702" spans="1:19" hidden="1" x14ac:dyDescent="0.3">
      <c r="A702" s="1" t="s">
        <v>785</v>
      </c>
      <c r="B702" s="1" t="s">
        <v>49</v>
      </c>
      <c r="C702" s="1" t="s">
        <v>69</v>
      </c>
      <c r="D702" s="1" t="s">
        <v>28</v>
      </c>
      <c r="E702" s="1" t="s">
        <v>21</v>
      </c>
      <c r="F702">
        <v>50</v>
      </c>
      <c r="G702" t="s">
        <v>36</v>
      </c>
      <c r="H702" s="2">
        <v>40979</v>
      </c>
      <c r="I702">
        <v>108134</v>
      </c>
      <c r="J702">
        <v>0.1</v>
      </c>
      <c r="K702">
        <v>118947.4</v>
      </c>
      <c r="L702" s="1" t="s">
        <v>30</v>
      </c>
      <c r="M702" s="1" t="s">
        <v>65</v>
      </c>
      <c r="N702" s="2"/>
      <c r="O702">
        <v>701</v>
      </c>
      <c r="P702">
        <v>0</v>
      </c>
      <c r="Q702" t="s">
        <v>25</v>
      </c>
      <c r="R702">
        <f ca="1">DATEDIF(EMP_RAW_Data[[#This Row],[Hire Date]],IF(EMP_RAW_Data[[#This Row],[Exit Date]]="",TODAY(),EMP_RAW_Data[[#This Row],[Exit Date]]),"Y")</f>
        <v>14</v>
      </c>
      <c r="S702" t="str">
        <f>IF(EMP_RAW_Data[[#This Row],[Status]]=1,"Inactive","Active")</f>
        <v>Active</v>
      </c>
    </row>
    <row r="703" spans="1:19" hidden="1" x14ac:dyDescent="0.3">
      <c r="A703" s="1" t="s">
        <v>786</v>
      </c>
      <c r="B703" s="1" t="s">
        <v>49</v>
      </c>
      <c r="C703" s="1" t="s">
        <v>69</v>
      </c>
      <c r="D703" s="1" t="s">
        <v>20</v>
      </c>
      <c r="E703" s="1" t="s">
        <v>21</v>
      </c>
      <c r="F703">
        <v>55</v>
      </c>
      <c r="G703" t="s">
        <v>22</v>
      </c>
      <c r="H703" s="2">
        <v>33958</v>
      </c>
      <c r="I703">
        <v>113950</v>
      </c>
      <c r="J703">
        <v>0.09</v>
      </c>
      <c r="K703">
        <v>124205.5</v>
      </c>
      <c r="L703" s="1" t="s">
        <v>23</v>
      </c>
      <c r="M703" s="1" t="s">
        <v>52</v>
      </c>
      <c r="N703" s="2"/>
      <c r="O703">
        <v>702</v>
      </c>
      <c r="P703">
        <v>0</v>
      </c>
      <c r="Q703" t="s">
        <v>25</v>
      </c>
      <c r="R703">
        <f ca="1">DATEDIF(EMP_RAW_Data[[#This Row],[Hire Date]],IF(EMP_RAW_Data[[#This Row],[Exit Date]]="",TODAY(),EMP_RAW_Data[[#This Row],[Exit Date]]),"Y")</f>
        <v>33</v>
      </c>
      <c r="S703" t="str">
        <f>IF(EMP_RAW_Data[[#This Row],[Status]]=1,"Inactive","Active")</f>
        <v>Active</v>
      </c>
    </row>
    <row r="704" spans="1:19" hidden="1" x14ac:dyDescent="0.3">
      <c r="A704" s="1" t="s">
        <v>787</v>
      </c>
      <c r="B704" s="1" t="s">
        <v>68</v>
      </c>
      <c r="C704" s="1" t="s">
        <v>69</v>
      </c>
      <c r="D704" s="1" t="s">
        <v>35</v>
      </c>
      <c r="E704" s="1" t="s">
        <v>21</v>
      </c>
      <c r="F704">
        <v>52</v>
      </c>
      <c r="G704" t="s">
        <v>36</v>
      </c>
      <c r="H704" s="2">
        <v>35886</v>
      </c>
      <c r="I704">
        <v>182035</v>
      </c>
      <c r="J704">
        <v>0.3</v>
      </c>
      <c r="K704">
        <v>236645.5</v>
      </c>
      <c r="L704" s="1" t="s">
        <v>23</v>
      </c>
      <c r="M704" s="1" t="s">
        <v>37</v>
      </c>
      <c r="N704" s="2"/>
      <c r="O704">
        <v>703</v>
      </c>
      <c r="P704">
        <v>0</v>
      </c>
      <c r="Q704" t="s">
        <v>25</v>
      </c>
      <c r="R704">
        <f ca="1">DATEDIF(EMP_RAW_Data[[#This Row],[Hire Date]],IF(EMP_RAW_Data[[#This Row],[Exit Date]]="",TODAY(),EMP_RAW_Data[[#This Row],[Exit Date]]),"Y")</f>
        <v>27</v>
      </c>
      <c r="S704" t="str">
        <f>IF(EMP_RAW_Data[[#This Row],[Status]]=1,"Inactive","Active")</f>
        <v>Active</v>
      </c>
    </row>
    <row r="705" spans="1:19" hidden="1" x14ac:dyDescent="0.3">
      <c r="A705" s="1" t="s">
        <v>788</v>
      </c>
      <c r="B705" s="1" t="s">
        <v>33</v>
      </c>
      <c r="C705" s="1" t="s">
        <v>54</v>
      </c>
      <c r="D705" s="1" t="s">
        <v>35</v>
      </c>
      <c r="E705" s="1" t="s">
        <v>29</v>
      </c>
      <c r="F705">
        <v>35</v>
      </c>
      <c r="G705" t="s">
        <v>59</v>
      </c>
      <c r="H705" s="2">
        <v>42963</v>
      </c>
      <c r="I705">
        <v>181356</v>
      </c>
      <c r="J705">
        <v>0.23</v>
      </c>
      <c r="K705">
        <v>223067.88</v>
      </c>
      <c r="L705" s="1" t="s">
        <v>30</v>
      </c>
      <c r="M705" s="1" t="s">
        <v>90</v>
      </c>
      <c r="N705" s="2"/>
      <c r="O705">
        <v>704</v>
      </c>
      <c r="P705">
        <v>0</v>
      </c>
      <c r="Q705" t="s">
        <v>25</v>
      </c>
      <c r="R705">
        <f ca="1">DATEDIF(EMP_RAW_Data[[#This Row],[Hire Date]],IF(EMP_RAW_Data[[#This Row],[Exit Date]]="",TODAY(),EMP_RAW_Data[[#This Row],[Exit Date]]),"Y")</f>
        <v>8</v>
      </c>
      <c r="S705" t="str">
        <f>IF(EMP_RAW_Data[[#This Row],[Status]]=1,"Inactive","Active")</f>
        <v>Active</v>
      </c>
    </row>
    <row r="706" spans="1:19" hidden="1" x14ac:dyDescent="0.3">
      <c r="A706" s="1" t="s">
        <v>789</v>
      </c>
      <c r="B706" s="1" t="s">
        <v>45</v>
      </c>
      <c r="C706" s="1" t="s">
        <v>46</v>
      </c>
      <c r="D706" s="1" t="s">
        <v>47</v>
      </c>
      <c r="E706" s="1" t="s">
        <v>21</v>
      </c>
      <c r="F706">
        <v>26</v>
      </c>
      <c r="G706" t="s">
        <v>40</v>
      </c>
      <c r="H706" s="2">
        <v>43698</v>
      </c>
      <c r="I706">
        <v>66084</v>
      </c>
      <c r="J706">
        <v>0</v>
      </c>
      <c r="K706">
        <v>66084</v>
      </c>
      <c r="L706" s="1" t="s">
        <v>23</v>
      </c>
      <c r="M706" s="1" t="s">
        <v>24</v>
      </c>
      <c r="N706" s="2"/>
      <c r="O706">
        <v>705</v>
      </c>
      <c r="P706">
        <v>0</v>
      </c>
      <c r="Q706" t="s">
        <v>25</v>
      </c>
      <c r="R706">
        <f ca="1">DATEDIF(EMP_RAW_Data[[#This Row],[Hire Date]],IF(EMP_RAW_Data[[#This Row],[Exit Date]]="",TODAY(),EMP_RAW_Data[[#This Row],[Exit Date]]),"Y")</f>
        <v>6</v>
      </c>
      <c r="S706" t="str">
        <f>IF(EMP_RAW_Data[[#This Row],[Status]]=1,"Inactive","Active")</f>
        <v>Active</v>
      </c>
    </row>
    <row r="707" spans="1:19" hidden="1" x14ac:dyDescent="0.3">
      <c r="A707" s="1" t="s">
        <v>790</v>
      </c>
      <c r="B707" s="1" t="s">
        <v>230</v>
      </c>
      <c r="C707" s="1" t="s">
        <v>19</v>
      </c>
      <c r="D707" s="1" t="s">
        <v>35</v>
      </c>
      <c r="E707" s="1" t="s">
        <v>21</v>
      </c>
      <c r="F707">
        <v>43</v>
      </c>
      <c r="G707" t="s">
        <v>59</v>
      </c>
      <c r="H707" s="2">
        <v>40290</v>
      </c>
      <c r="I707">
        <v>76912</v>
      </c>
      <c r="J707">
        <v>0</v>
      </c>
      <c r="K707">
        <v>76912</v>
      </c>
      <c r="L707" s="1" t="s">
        <v>77</v>
      </c>
      <c r="M707" s="1" t="s">
        <v>148</v>
      </c>
      <c r="N707" s="2"/>
      <c r="O707">
        <v>706</v>
      </c>
      <c r="P707">
        <v>0</v>
      </c>
      <c r="Q707" t="s">
        <v>25</v>
      </c>
      <c r="R707">
        <f ca="1">DATEDIF(EMP_RAW_Data[[#This Row],[Hire Date]],IF(EMP_RAW_Data[[#This Row],[Exit Date]]="",TODAY(),EMP_RAW_Data[[#This Row],[Exit Date]]),"Y")</f>
        <v>15</v>
      </c>
      <c r="S707" t="str">
        <f>IF(EMP_RAW_Data[[#This Row],[Status]]=1,"Inactive","Active")</f>
        <v>Active</v>
      </c>
    </row>
    <row r="708" spans="1:19" hidden="1" x14ac:dyDescent="0.3">
      <c r="A708" s="1" t="s">
        <v>791</v>
      </c>
      <c r="B708" s="1" t="s">
        <v>151</v>
      </c>
      <c r="C708" s="1" t="s">
        <v>62</v>
      </c>
      <c r="D708" s="1" t="s">
        <v>20</v>
      </c>
      <c r="E708" s="1" t="s">
        <v>21</v>
      </c>
      <c r="F708">
        <v>63</v>
      </c>
      <c r="G708" t="s">
        <v>22</v>
      </c>
      <c r="H708" s="2">
        <v>43227</v>
      </c>
      <c r="I708">
        <v>67987</v>
      </c>
      <c r="J708">
        <v>0</v>
      </c>
      <c r="K708">
        <v>67987</v>
      </c>
      <c r="L708" s="1" t="s">
        <v>23</v>
      </c>
      <c r="M708" s="1" t="s">
        <v>52</v>
      </c>
      <c r="N708" s="2"/>
      <c r="O708">
        <v>707</v>
      </c>
      <c r="P708">
        <v>0</v>
      </c>
      <c r="Q708" t="s">
        <v>25</v>
      </c>
      <c r="R708">
        <f ca="1">DATEDIF(EMP_RAW_Data[[#This Row],[Hire Date]],IF(EMP_RAW_Data[[#This Row],[Exit Date]]="",TODAY(),EMP_RAW_Data[[#This Row],[Exit Date]]),"Y")</f>
        <v>7</v>
      </c>
      <c r="S708" t="str">
        <f>IF(EMP_RAW_Data[[#This Row],[Status]]=1,"Inactive","Active")</f>
        <v>Active</v>
      </c>
    </row>
    <row r="709" spans="1:19" hidden="1" x14ac:dyDescent="0.3">
      <c r="A709" s="1" t="s">
        <v>792</v>
      </c>
      <c r="B709" s="1" t="s">
        <v>96</v>
      </c>
      <c r="C709" s="1" t="s">
        <v>69</v>
      </c>
      <c r="D709" s="1" t="s">
        <v>28</v>
      </c>
      <c r="E709" s="1" t="s">
        <v>29</v>
      </c>
      <c r="F709">
        <v>65</v>
      </c>
      <c r="G709" t="s">
        <v>71</v>
      </c>
      <c r="H709" s="2">
        <v>38584</v>
      </c>
      <c r="I709">
        <v>59833</v>
      </c>
      <c r="J709">
        <v>0</v>
      </c>
      <c r="K709">
        <v>59833</v>
      </c>
      <c r="L709" s="1" t="s">
        <v>23</v>
      </c>
      <c r="M709" s="1" t="s">
        <v>74</v>
      </c>
      <c r="N709" s="2"/>
      <c r="O709">
        <v>708</v>
      </c>
      <c r="P709">
        <v>0</v>
      </c>
      <c r="Q709" t="s">
        <v>25</v>
      </c>
      <c r="R709">
        <f ca="1">DATEDIF(EMP_RAW_Data[[#This Row],[Hire Date]],IF(EMP_RAW_Data[[#This Row],[Exit Date]]="",TODAY(),EMP_RAW_Data[[#This Row],[Exit Date]]),"Y")</f>
        <v>20</v>
      </c>
      <c r="S709" t="str">
        <f>IF(EMP_RAW_Data[[#This Row],[Status]]=1,"Inactive","Active")</f>
        <v>Active</v>
      </c>
    </row>
    <row r="710" spans="1:19" hidden="1" x14ac:dyDescent="0.3">
      <c r="A710" s="1" t="s">
        <v>793</v>
      </c>
      <c r="B710" s="1" t="s">
        <v>18</v>
      </c>
      <c r="C710" s="1" t="s">
        <v>69</v>
      </c>
      <c r="D710" s="1" t="s">
        <v>35</v>
      </c>
      <c r="E710" s="1" t="s">
        <v>29</v>
      </c>
      <c r="F710">
        <v>45</v>
      </c>
      <c r="G710" t="s">
        <v>36</v>
      </c>
      <c r="H710" s="2">
        <v>38453</v>
      </c>
      <c r="I710">
        <v>128468</v>
      </c>
      <c r="J710">
        <v>0.11</v>
      </c>
      <c r="K710">
        <v>142599.48000000001</v>
      </c>
      <c r="L710" s="1" t="s">
        <v>23</v>
      </c>
      <c r="M710" s="1" t="s">
        <v>37</v>
      </c>
      <c r="N710" s="2"/>
      <c r="O710">
        <v>709</v>
      </c>
      <c r="P710">
        <v>0</v>
      </c>
      <c r="Q710" t="s">
        <v>25</v>
      </c>
      <c r="R710">
        <f ca="1">DATEDIF(EMP_RAW_Data[[#This Row],[Hire Date]],IF(EMP_RAW_Data[[#This Row],[Exit Date]]="",TODAY(),EMP_RAW_Data[[#This Row],[Exit Date]]),"Y")</f>
        <v>20</v>
      </c>
      <c r="S710" t="str">
        <f>IF(EMP_RAW_Data[[#This Row],[Status]]=1,"Inactive","Active")</f>
        <v>Active</v>
      </c>
    </row>
    <row r="711" spans="1:19" hidden="1" x14ac:dyDescent="0.3">
      <c r="A711" s="1" t="s">
        <v>794</v>
      </c>
      <c r="B711" s="1" t="s">
        <v>49</v>
      </c>
      <c r="C711" s="1" t="s">
        <v>46</v>
      </c>
      <c r="D711" s="1" t="s">
        <v>47</v>
      </c>
      <c r="E711" s="1" t="s">
        <v>29</v>
      </c>
      <c r="F711">
        <v>42</v>
      </c>
      <c r="G711" t="s">
        <v>59</v>
      </c>
      <c r="H711" s="2">
        <v>40692</v>
      </c>
      <c r="I711">
        <v>102440</v>
      </c>
      <c r="J711">
        <v>0.06</v>
      </c>
      <c r="K711">
        <v>108586.4</v>
      </c>
      <c r="L711" s="1" t="s">
        <v>23</v>
      </c>
      <c r="M711" s="1" t="s">
        <v>37</v>
      </c>
      <c r="N711" s="2"/>
      <c r="O711">
        <v>710</v>
      </c>
      <c r="P711">
        <v>0</v>
      </c>
      <c r="Q711" t="s">
        <v>25</v>
      </c>
      <c r="R711">
        <f ca="1">DATEDIF(EMP_RAW_Data[[#This Row],[Hire Date]],IF(EMP_RAW_Data[[#This Row],[Exit Date]]="",TODAY(),EMP_RAW_Data[[#This Row],[Exit Date]]),"Y")</f>
        <v>14</v>
      </c>
      <c r="S711" t="str">
        <f>IF(EMP_RAW_Data[[#This Row],[Status]]=1,"Inactive","Active")</f>
        <v>Active</v>
      </c>
    </row>
    <row r="712" spans="1:19" hidden="1" x14ac:dyDescent="0.3">
      <c r="A712" s="1" t="s">
        <v>795</v>
      </c>
      <c r="B712" s="1" t="s">
        <v>68</v>
      </c>
      <c r="C712" s="1" t="s">
        <v>19</v>
      </c>
      <c r="D712" s="1" t="s">
        <v>35</v>
      </c>
      <c r="E712" s="1" t="s">
        <v>29</v>
      </c>
      <c r="F712">
        <v>59</v>
      </c>
      <c r="G712" t="s">
        <v>22</v>
      </c>
      <c r="H712" s="2">
        <v>40542</v>
      </c>
      <c r="I712">
        <v>246619</v>
      </c>
      <c r="J712">
        <v>0.36</v>
      </c>
      <c r="K712">
        <v>335401.83999999997</v>
      </c>
      <c r="L712" s="1" t="s">
        <v>23</v>
      </c>
      <c r="M712" s="1" t="s">
        <v>52</v>
      </c>
      <c r="N712" s="2"/>
      <c r="O712">
        <v>711</v>
      </c>
      <c r="P712">
        <v>0</v>
      </c>
      <c r="Q712" t="s">
        <v>25</v>
      </c>
      <c r="R712">
        <f ca="1">DATEDIF(EMP_RAW_Data[[#This Row],[Hire Date]],IF(EMP_RAW_Data[[#This Row],[Exit Date]]="",TODAY(),EMP_RAW_Data[[#This Row],[Exit Date]]),"Y")</f>
        <v>15</v>
      </c>
      <c r="S712" t="str">
        <f>IF(EMP_RAW_Data[[#This Row],[Status]]=1,"Inactive","Active")</f>
        <v>Active</v>
      </c>
    </row>
    <row r="713" spans="1:19" hidden="1" x14ac:dyDescent="0.3">
      <c r="A713" s="1" t="s">
        <v>796</v>
      </c>
      <c r="B713" s="1" t="s">
        <v>49</v>
      </c>
      <c r="C713" s="1" t="s">
        <v>58</v>
      </c>
      <c r="D713" s="1" t="s">
        <v>47</v>
      </c>
      <c r="E713" s="1" t="s">
        <v>21</v>
      </c>
      <c r="F713">
        <v>42</v>
      </c>
      <c r="G713" t="s">
        <v>59</v>
      </c>
      <c r="H713" s="2">
        <v>43058</v>
      </c>
      <c r="I713">
        <v>101143</v>
      </c>
      <c r="J713">
        <v>0.06</v>
      </c>
      <c r="K713">
        <v>107211.58</v>
      </c>
      <c r="L713" s="1" t="s">
        <v>23</v>
      </c>
      <c r="M713" s="1" t="s">
        <v>52</v>
      </c>
      <c r="N713" s="2"/>
      <c r="O713">
        <v>712</v>
      </c>
      <c r="P713">
        <v>0</v>
      </c>
      <c r="Q713" t="s">
        <v>25</v>
      </c>
      <c r="R713">
        <f ca="1">DATEDIF(EMP_RAW_Data[[#This Row],[Hire Date]],IF(EMP_RAW_Data[[#This Row],[Exit Date]]="",TODAY(),EMP_RAW_Data[[#This Row],[Exit Date]]),"Y")</f>
        <v>8</v>
      </c>
      <c r="S713" t="str">
        <f>IF(EMP_RAW_Data[[#This Row],[Status]]=1,"Inactive","Active")</f>
        <v>Active</v>
      </c>
    </row>
    <row r="714" spans="1:19" x14ac:dyDescent="0.3">
      <c r="A714" s="1" t="s">
        <v>797</v>
      </c>
      <c r="B714" s="1" t="s">
        <v>130</v>
      </c>
      <c r="C714" s="1" t="s">
        <v>58</v>
      </c>
      <c r="D714" s="1" t="s">
        <v>28</v>
      </c>
      <c r="E714" s="1" t="s">
        <v>21</v>
      </c>
      <c r="F714">
        <v>45</v>
      </c>
      <c r="G714" t="s">
        <v>36</v>
      </c>
      <c r="H714" s="2">
        <v>38639</v>
      </c>
      <c r="I714">
        <v>51404</v>
      </c>
      <c r="J714">
        <v>0</v>
      </c>
      <c r="K714">
        <v>51404</v>
      </c>
      <c r="L714" s="1" t="s">
        <v>77</v>
      </c>
      <c r="M714" s="1" t="s">
        <v>78</v>
      </c>
      <c r="N714" s="2">
        <v>40153</v>
      </c>
      <c r="O714">
        <v>713</v>
      </c>
      <c r="P714">
        <v>1</v>
      </c>
      <c r="Q714" t="s">
        <v>25</v>
      </c>
      <c r="R714">
        <f ca="1">DATEDIF(EMP_RAW_Data[[#This Row],[Hire Date]],IF(EMP_RAW_Data[[#This Row],[Exit Date]]="",TODAY(),EMP_RAW_Data[[#This Row],[Exit Date]]),"Y")</f>
        <v>4</v>
      </c>
      <c r="S714" t="str">
        <f>IF(EMP_RAW_Data[[#This Row],[Status]]=1,"Inactive","Active")</f>
        <v>Inactive</v>
      </c>
    </row>
    <row r="715" spans="1:19" hidden="1" x14ac:dyDescent="0.3">
      <c r="A715" s="1" t="s">
        <v>798</v>
      </c>
      <c r="B715" s="1" t="s">
        <v>124</v>
      </c>
      <c r="C715" s="1" t="s">
        <v>62</v>
      </c>
      <c r="D715" s="1" t="s">
        <v>35</v>
      </c>
      <c r="E715" s="1" t="s">
        <v>29</v>
      </c>
      <c r="F715">
        <v>45</v>
      </c>
      <c r="G715" t="s">
        <v>36</v>
      </c>
      <c r="H715" s="2">
        <v>42329</v>
      </c>
      <c r="I715">
        <v>87292</v>
      </c>
      <c r="J715">
        <v>0</v>
      </c>
      <c r="K715">
        <v>87292</v>
      </c>
      <c r="L715" s="1" t="s">
        <v>23</v>
      </c>
      <c r="M715" s="1" t="s">
        <v>74</v>
      </c>
      <c r="N715" s="2"/>
      <c r="O715">
        <v>714</v>
      </c>
      <c r="P715">
        <v>0</v>
      </c>
      <c r="Q715" t="s">
        <v>25</v>
      </c>
      <c r="R715">
        <f ca="1">DATEDIF(EMP_RAW_Data[[#This Row],[Hire Date]],IF(EMP_RAW_Data[[#This Row],[Exit Date]]="",TODAY(),EMP_RAW_Data[[#This Row],[Exit Date]]),"Y")</f>
        <v>10</v>
      </c>
      <c r="S715" t="str">
        <f>IF(EMP_RAW_Data[[#This Row],[Status]]=1,"Inactive","Active")</f>
        <v>Active</v>
      </c>
    </row>
    <row r="716" spans="1:19" hidden="1" x14ac:dyDescent="0.3">
      <c r="A716" s="1" t="s">
        <v>799</v>
      </c>
      <c r="B716" s="1" t="s">
        <v>33</v>
      </c>
      <c r="C716" s="1" t="s">
        <v>69</v>
      </c>
      <c r="D716" s="1" t="s">
        <v>35</v>
      </c>
      <c r="E716" s="1" t="s">
        <v>21</v>
      </c>
      <c r="F716">
        <v>28</v>
      </c>
      <c r="G716" t="s">
        <v>40</v>
      </c>
      <c r="H716" s="2">
        <v>43810</v>
      </c>
      <c r="I716">
        <v>182321</v>
      </c>
      <c r="J716">
        <v>0.28000000000000003</v>
      </c>
      <c r="K716">
        <v>233370.88</v>
      </c>
      <c r="L716" s="1" t="s">
        <v>30</v>
      </c>
      <c r="M716" s="1" t="s">
        <v>90</v>
      </c>
      <c r="N716" s="2"/>
      <c r="O716">
        <v>715</v>
      </c>
      <c r="P716">
        <v>0</v>
      </c>
      <c r="Q716" t="s">
        <v>25</v>
      </c>
      <c r="R716">
        <f ca="1">DATEDIF(EMP_RAW_Data[[#This Row],[Hire Date]],IF(EMP_RAW_Data[[#This Row],[Exit Date]]="",TODAY(),EMP_RAW_Data[[#This Row],[Exit Date]]),"Y")</f>
        <v>6</v>
      </c>
      <c r="S716" t="str">
        <f>IF(EMP_RAW_Data[[#This Row],[Status]]=1,"Inactive","Active")</f>
        <v>Active</v>
      </c>
    </row>
    <row r="717" spans="1:19" x14ac:dyDescent="0.3">
      <c r="A717" s="1" t="s">
        <v>800</v>
      </c>
      <c r="B717" s="1" t="s">
        <v>208</v>
      </c>
      <c r="C717" s="1" t="s">
        <v>19</v>
      </c>
      <c r="D717" s="1" t="s">
        <v>47</v>
      </c>
      <c r="E717" s="1" t="s">
        <v>29</v>
      </c>
      <c r="F717">
        <v>51</v>
      </c>
      <c r="G717" t="s">
        <v>36</v>
      </c>
      <c r="H717" s="2">
        <v>41697</v>
      </c>
      <c r="I717">
        <v>53929</v>
      </c>
      <c r="J717">
        <v>0</v>
      </c>
      <c r="K717">
        <v>53929</v>
      </c>
      <c r="L717" s="1" t="s">
        <v>23</v>
      </c>
      <c r="M717" s="1" t="s">
        <v>52</v>
      </c>
      <c r="N717" s="2">
        <v>43091</v>
      </c>
      <c r="O717">
        <v>716</v>
      </c>
      <c r="P717">
        <v>1</v>
      </c>
      <c r="Q717" t="s">
        <v>25</v>
      </c>
      <c r="R717">
        <f ca="1">DATEDIF(EMP_RAW_Data[[#This Row],[Hire Date]],IF(EMP_RAW_Data[[#This Row],[Exit Date]]="",TODAY(),EMP_RAW_Data[[#This Row],[Exit Date]]),"Y")</f>
        <v>3</v>
      </c>
      <c r="S717" t="str">
        <f>IF(EMP_RAW_Data[[#This Row],[Status]]=1,"Inactive","Active")</f>
        <v>Inactive</v>
      </c>
    </row>
    <row r="718" spans="1:19" hidden="1" x14ac:dyDescent="0.3">
      <c r="A718" s="1" t="s">
        <v>801</v>
      </c>
      <c r="B718" s="1" t="s">
        <v>68</v>
      </c>
      <c r="C718" s="1" t="s">
        <v>54</v>
      </c>
      <c r="D718" s="1" t="s">
        <v>28</v>
      </c>
      <c r="E718" s="1" t="s">
        <v>21</v>
      </c>
      <c r="F718">
        <v>38</v>
      </c>
      <c r="G718" t="s">
        <v>59</v>
      </c>
      <c r="H718" s="2">
        <v>41256</v>
      </c>
      <c r="I718">
        <v>191571</v>
      </c>
      <c r="J718">
        <v>0.32</v>
      </c>
      <c r="K718">
        <v>252873.72</v>
      </c>
      <c r="L718" s="1" t="s">
        <v>23</v>
      </c>
      <c r="M718" s="1" t="s">
        <v>55</v>
      </c>
      <c r="N718" s="2"/>
      <c r="O718">
        <v>717</v>
      </c>
      <c r="P718">
        <v>0</v>
      </c>
      <c r="Q718" t="s">
        <v>25</v>
      </c>
      <c r="R718">
        <f ca="1">DATEDIF(EMP_RAW_Data[[#This Row],[Hire Date]],IF(EMP_RAW_Data[[#This Row],[Exit Date]]="",TODAY(),EMP_RAW_Data[[#This Row],[Exit Date]]),"Y")</f>
        <v>13</v>
      </c>
      <c r="S718" t="str">
        <f>IF(EMP_RAW_Data[[#This Row],[Status]]=1,"Inactive","Active")</f>
        <v>Active</v>
      </c>
    </row>
    <row r="719" spans="1:19" hidden="1" x14ac:dyDescent="0.3">
      <c r="A719" s="1" t="s">
        <v>802</v>
      </c>
      <c r="B719" s="1" t="s">
        <v>18</v>
      </c>
      <c r="C719" s="1" t="s">
        <v>54</v>
      </c>
      <c r="D719" s="1" t="s">
        <v>47</v>
      </c>
      <c r="E719" s="1" t="s">
        <v>21</v>
      </c>
      <c r="F719">
        <v>62</v>
      </c>
      <c r="G719" t="s">
        <v>22</v>
      </c>
      <c r="H719" s="2">
        <v>39843</v>
      </c>
      <c r="I719">
        <v>150555</v>
      </c>
      <c r="J719">
        <v>0.13</v>
      </c>
      <c r="K719">
        <v>170127.15</v>
      </c>
      <c r="L719" s="1" t="s">
        <v>23</v>
      </c>
      <c r="M719" s="1" t="s">
        <v>43</v>
      </c>
      <c r="N719" s="2"/>
      <c r="O719">
        <v>718</v>
      </c>
      <c r="P719">
        <v>0</v>
      </c>
      <c r="Q719" t="s">
        <v>25</v>
      </c>
      <c r="R719">
        <f ca="1">DATEDIF(EMP_RAW_Data[[#This Row],[Hire Date]],IF(EMP_RAW_Data[[#This Row],[Exit Date]]="",TODAY(),EMP_RAW_Data[[#This Row],[Exit Date]]),"Y")</f>
        <v>17</v>
      </c>
      <c r="S719" t="str">
        <f>IF(EMP_RAW_Data[[#This Row],[Status]]=1,"Inactive","Active")</f>
        <v>Active</v>
      </c>
    </row>
    <row r="720" spans="1:19" hidden="1" x14ac:dyDescent="0.3">
      <c r="A720" s="1" t="s">
        <v>803</v>
      </c>
      <c r="B720" s="1" t="s">
        <v>49</v>
      </c>
      <c r="C720" s="1" t="s">
        <v>34</v>
      </c>
      <c r="D720" s="1" t="s">
        <v>47</v>
      </c>
      <c r="E720" s="1" t="s">
        <v>29</v>
      </c>
      <c r="F720">
        <v>52</v>
      </c>
      <c r="G720" t="s">
        <v>36</v>
      </c>
      <c r="H720" s="2">
        <v>40091</v>
      </c>
      <c r="I720">
        <v>122890</v>
      </c>
      <c r="J720">
        <v>7.0000000000000007E-2</v>
      </c>
      <c r="K720">
        <v>131492.29999999999</v>
      </c>
      <c r="L720" s="1" t="s">
        <v>30</v>
      </c>
      <c r="M720" s="1" t="s">
        <v>65</v>
      </c>
      <c r="N720" s="2"/>
      <c r="O720">
        <v>719</v>
      </c>
      <c r="P720">
        <v>0</v>
      </c>
      <c r="Q720" t="s">
        <v>25</v>
      </c>
      <c r="R720">
        <f ca="1">DATEDIF(EMP_RAW_Data[[#This Row],[Hire Date]],IF(EMP_RAW_Data[[#This Row],[Exit Date]]="",TODAY(),EMP_RAW_Data[[#This Row],[Exit Date]]),"Y")</f>
        <v>16</v>
      </c>
      <c r="S720" t="str">
        <f>IF(EMP_RAW_Data[[#This Row],[Status]]=1,"Inactive","Active")</f>
        <v>Active</v>
      </c>
    </row>
    <row r="721" spans="1:19" hidden="1" x14ac:dyDescent="0.3">
      <c r="A721" s="1" t="s">
        <v>804</v>
      </c>
      <c r="B721" s="1" t="s">
        <v>68</v>
      </c>
      <c r="C721" s="1" t="s">
        <v>34</v>
      </c>
      <c r="D721" s="1" t="s">
        <v>20</v>
      </c>
      <c r="E721" s="1" t="s">
        <v>29</v>
      </c>
      <c r="F721">
        <v>52</v>
      </c>
      <c r="G721" t="s">
        <v>36</v>
      </c>
      <c r="H721" s="2">
        <v>35576</v>
      </c>
      <c r="I721">
        <v>216999</v>
      </c>
      <c r="J721">
        <v>0.37</v>
      </c>
      <c r="K721">
        <v>297288.63</v>
      </c>
      <c r="L721" s="1" t="s">
        <v>23</v>
      </c>
      <c r="M721" s="1" t="s">
        <v>52</v>
      </c>
      <c r="N721" s="2"/>
      <c r="O721">
        <v>720</v>
      </c>
      <c r="P721">
        <v>0</v>
      </c>
      <c r="Q721" t="s">
        <v>25</v>
      </c>
      <c r="R721">
        <f ca="1">DATEDIF(EMP_RAW_Data[[#This Row],[Hire Date]],IF(EMP_RAW_Data[[#This Row],[Exit Date]]="",TODAY(),EMP_RAW_Data[[#This Row],[Exit Date]]),"Y")</f>
        <v>28</v>
      </c>
      <c r="S721" t="str">
        <f>IF(EMP_RAW_Data[[#This Row],[Status]]=1,"Inactive","Active")</f>
        <v>Active</v>
      </c>
    </row>
    <row r="722" spans="1:19" hidden="1" x14ac:dyDescent="0.3">
      <c r="A722" s="1" t="s">
        <v>805</v>
      </c>
      <c r="B722" s="1" t="s">
        <v>49</v>
      </c>
      <c r="C722" s="1" t="s">
        <v>58</v>
      </c>
      <c r="D722" s="1" t="s">
        <v>47</v>
      </c>
      <c r="E722" s="1" t="s">
        <v>29</v>
      </c>
      <c r="F722">
        <v>48</v>
      </c>
      <c r="G722" t="s">
        <v>36</v>
      </c>
      <c r="H722" s="2">
        <v>42201</v>
      </c>
      <c r="I722">
        <v>110565</v>
      </c>
      <c r="J722">
        <v>0.09</v>
      </c>
      <c r="K722">
        <v>120515.85</v>
      </c>
      <c r="L722" s="1" t="s">
        <v>30</v>
      </c>
      <c r="M722" s="1" t="s">
        <v>90</v>
      </c>
      <c r="N722" s="2"/>
      <c r="O722">
        <v>721</v>
      </c>
      <c r="P722">
        <v>0</v>
      </c>
      <c r="Q722" t="s">
        <v>25</v>
      </c>
      <c r="R722">
        <f ca="1">DATEDIF(EMP_RAW_Data[[#This Row],[Hire Date]],IF(EMP_RAW_Data[[#This Row],[Exit Date]]="",TODAY(),EMP_RAW_Data[[#This Row],[Exit Date]]),"Y")</f>
        <v>10</v>
      </c>
      <c r="S722" t="str">
        <f>IF(EMP_RAW_Data[[#This Row],[Status]]=1,"Inactive","Active")</f>
        <v>Active</v>
      </c>
    </row>
    <row r="723" spans="1:19" hidden="1" x14ac:dyDescent="0.3">
      <c r="A723" s="1" t="s">
        <v>806</v>
      </c>
      <c r="B723" s="1" t="s">
        <v>93</v>
      </c>
      <c r="C723" s="1" t="s">
        <v>19</v>
      </c>
      <c r="D723" s="1" t="s">
        <v>35</v>
      </c>
      <c r="E723" s="1" t="s">
        <v>29</v>
      </c>
      <c r="F723">
        <v>38</v>
      </c>
      <c r="G723" t="s">
        <v>59</v>
      </c>
      <c r="H723" s="2">
        <v>42113</v>
      </c>
      <c r="I723">
        <v>48762</v>
      </c>
      <c r="J723">
        <v>0</v>
      </c>
      <c r="K723">
        <v>48762</v>
      </c>
      <c r="L723" s="1" t="s">
        <v>23</v>
      </c>
      <c r="M723" s="1" t="s">
        <v>24</v>
      </c>
      <c r="N723" s="2"/>
      <c r="O723">
        <v>722</v>
      </c>
      <c r="P723">
        <v>0</v>
      </c>
      <c r="Q723" t="s">
        <v>25</v>
      </c>
      <c r="R723">
        <f ca="1">DATEDIF(EMP_RAW_Data[[#This Row],[Hire Date]],IF(EMP_RAW_Data[[#This Row],[Exit Date]]="",TODAY(),EMP_RAW_Data[[#This Row],[Exit Date]]),"Y")</f>
        <v>10</v>
      </c>
      <c r="S723" t="str">
        <f>IF(EMP_RAW_Data[[#This Row],[Status]]=1,"Inactive","Active")</f>
        <v>Active</v>
      </c>
    </row>
    <row r="724" spans="1:19" hidden="1" x14ac:dyDescent="0.3">
      <c r="A724" s="1" t="s">
        <v>807</v>
      </c>
      <c r="B724" s="1" t="s">
        <v>180</v>
      </c>
      <c r="C724" s="1" t="s">
        <v>62</v>
      </c>
      <c r="D724" s="1" t="s">
        <v>35</v>
      </c>
      <c r="E724" s="1" t="s">
        <v>21</v>
      </c>
      <c r="F724">
        <v>51</v>
      </c>
      <c r="G724" t="s">
        <v>36</v>
      </c>
      <c r="H724" s="2">
        <v>42777</v>
      </c>
      <c r="I724">
        <v>87036</v>
      </c>
      <c r="J724">
        <v>0</v>
      </c>
      <c r="K724">
        <v>87036</v>
      </c>
      <c r="L724" s="1" t="s">
        <v>30</v>
      </c>
      <c r="M724" s="1" t="s">
        <v>31</v>
      </c>
      <c r="N724" s="2"/>
      <c r="O724">
        <v>723</v>
      </c>
      <c r="P724">
        <v>0</v>
      </c>
      <c r="Q724" t="s">
        <v>25</v>
      </c>
      <c r="R724">
        <f ca="1">DATEDIF(EMP_RAW_Data[[#This Row],[Hire Date]],IF(EMP_RAW_Data[[#This Row],[Exit Date]]="",TODAY(),EMP_RAW_Data[[#This Row],[Exit Date]]),"Y")</f>
        <v>9</v>
      </c>
      <c r="S724" t="str">
        <f>IF(EMP_RAW_Data[[#This Row],[Status]]=1,"Inactive","Active")</f>
        <v>Active</v>
      </c>
    </row>
    <row r="725" spans="1:19" hidden="1" x14ac:dyDescent="0.3">
      <c r="A725" s="1" t="s">
        <v>808</v>
      </c>
      <c r="B725" s="1" t="s">
        <v>33</v>
      </c>
      <c r="C725" s="1" t="s">
        <v>69</v>
      </c>
      <c r="D725" s="1" t="s">
        <v>35</v>
      </c>
      <c r="E725" s="1" t="s">
        <v>29</v>
      </c>
      <c r="F725">
        <v>32</v>
      </c>
      <c r="G725" t="s">
        <v>40</v>
      </c>
      <c r="H725" s="2">
        <v>42702</v>
      </c>
      <c r="I725">
        <v>177443</v>
      </c>
      <c r="J725">
        <v>0.16</v>
      </c>
      <c r="K725">
        <v>205833.88</v>
      </c>
      <c r="L725" s="1" t="s">
        <v>23</v>
      </c>
      <c r="M725" s="1" t="s">
        <v>24</v>
      </c>
      <c r="N725" s="2"/>
      <c r="O725">
        <v>724</v>
      </c>
      <c r="P725">
        <v>0</v>
      </c>
      <c r="Q725" t="s">
        <v>25</v>
      </c>
      <c r="R725">
        <f ca="1">DATEDIF(EMP_RAW_Data[[#This Row],[Hire Date]],IF(EMP_RAW_Data[[#This Row],[Exit Date]]="",TODAY(),EMP_RAW_Data[[#This Row],[Exit Date]]),"Y")</f>
        <v>9</v>
      </c>
      <c r="S725" t="str">
        <f>IF(EMP_RAW_Data[[#This Row],[Status]]=1,"Inactive","Active")</f>
        <v>Active</v>
      </c>
    </row>
    <row r="726" spans="1:19" hidden="1" x14ac:dyDescent="0.3">
      <c r="A726" s="1" t="s">
        <v>809</v>
      </c>
      <c r="B726" s="1" t="s">
        <v>100</v>
      </c>
      <c r="C726" s="1" t="s">
        <v>19</v>
      </c>
      <c r="D726" s="1" t="s">
        <v>20</v>
      </c>
      <c r="E726" s="1" t="s">
        <v>21</v>
      </c>
      <c r="F726">
        <v>36</v>
      </c>
      <c r="G726" t="s">
        <v>59</v>
      </c>
      <c r="H726" s="2">
        <v>42489</v>
      </c>
      <c r="I726">
        <v>75862</v>
      </c>
      <c r="J726">
        <v>0</v>
      </c>
      <c r="K726">
        <v>75862</v>
      </c>
      <c r="L726" s="1" t="s">
        <v>23</v>
      </c>
      <c r="M726" s="1" t="s">
        <v>55</v>
      </c>
      <c r="N726" s="2"/>
      <c r="O726">
        <v>725</v>
      </c>
      <c r="P726">
        <v>0</v>
      </c>
      <c r="Q726" t="s">
        <v>25</v>
      </c>
      <c r="R726">
        <f ca="1">DATEDIF(EMP_RAW_Data[[#This Row],[Hire Date]],IF(EMP_RAW_Data[[#This Row],[Exit Date]]="",TODAY(),EMP_RAW_Data[[#This Row],[Exit Date]]),"Y")</f>
        <v>9</v>
      </c>
      <c r="S726" t="str">
        <f>IF(EMP_RAW_Data[[#This Row],[Status]]=1,"Inactive","Active")</f>
        <v>Active</v>
      </c>
    </row>
    <row r="727" spans="1:19" hidden="1" x14ac:dyDescent="0.3">
      <c r="A727" s="1" t="s">
        <v>810</v>
      </c>
      <c r="B727" s="1" t="s">
        <v>107</v>
      </c>
      <c r="C727" s="1" t="s">
        <v>58</v>
      </c>
      <c r="D727" s="1" t="s">
        <v>20</v>
      </c>
      <c r="E727" s="1" t="s">
        <v>21</v>
      </c>
      <c r="F727">
        <v>45</v>
      </c>
      <c r="G727" t="s">
        <v>36</v>
      </c>
      <c r="H727" s="2">
        <v>43581</v>
      </c>
      <c r="I727">
        <v>90870</v>
      </c>
      <c r="J727">
        <v>0</v>
      </c>
      <c r="K727">
        <v>90870</v>
      </c>
      <c r="L727" s="1" t="s">
        <v>23</v>
      </c>
      <c r="M727" s="1" t="s">
        <v>37</v>
      </c>
      <c r="N727" s="2"/>
      <c r="O727">
        <v>726</v>
      </c>
      <c r="P727">
        <v>0</v>
      </c>
      <c r="Q727" t="s">
        <v>25</v>
      </c>
      <c r="R727">
        <f ca="1">DATEDIF(EMP_RAW_Data[[#This Row],[Hire Date]],IF(EMP_RAW_Data[[#This Row],[Exit Date]]="",TODAY(),EMP_RAW_Data[[#This Row],[Exit Date]]),"Y")</f>
        <v>6</v>
      </c>
      <c r="S727" t="str">
        <f>IF(EMP_RAW_Data[[#This Row],[Status]]=1,"Inactive","Active")</f>
        <v>Active</v>
      </c>
    </row>
    <row r="728" spans="1:19" hidden="1" x14ac:dyDescent="0.3">
      <c r="A728" s="1" t="s">
        <v>811</v>
      </c>
      <c r="B728" s="1" t="s">
        <v>89</v>
      </c>
      <c r="C728" s="1" t="s">
        <v>62</v>
      </c>
      <c r="D728" s="1" t="s">
        <v>47</v>
      </c>
      <c r="E728" s="1" t="s">
        <v>21</v>
      </c>
      <c r="F728">
        <v>32</v>
      </c>
      <c r="G728" t="s">
        <v>40</v>
      </c>
      <c r="H728" s="2">
        <v>41977</v>
      </c>
      <c r="I728">
        <v>99202</v>
      </c>
      <c r="J728">
        <v>0.11</v>
      </c>
      <c r="K728">
        <v>110114.22</v>
      </c>
      <c r="L728" s="1" t="s">
        <v>23</v>
      </c>
      <c r="M728" s="1" t="s">
        <v>43</v>
      </c>
      <c r="N728" s="2"/>
      <c r="O728">
        <v>727</v>
      </c>
      <c r="P728">
        <v>0</v>
      </c>
      <c r="Q728" t="s">
        <v>25</v>
      </c>
      <c r="R728">
        <f ca="1">DATEDIF(EMP_RAW_Data[[#This Row],[Hire Date]],IF(EMP_RAW_Data[[#This Row],[Exit Date]]="",TODAY(),EMP_RAW_Data[[#This Row],[Exit Date]]),"Y")</f>
        <v>11</v>
      </c>
      <c r="S728" t="str">
        <f>IF(EMP_RAW_Data[[#This Row],[Status]]=1,"Inactive","Active")</f>
        <v>Active</v>
      </c>
    </row>
    <row r="729" spans="1:19" hidden="1" x14ac:dyDescent="0.3">
      <c r="A729" s="1" t="s">
        <v>812</v>
      </c>
      <c r="B729" s="1" t="s">
        <v>42</v>
      </c>
      <c r="C729" s="1" t="s">
        <v>69</v>
      </c>
      <c r="D729" s="1" t="s">
        <v>47</v>
      </c>
      <c r="E729" s="1" t="s">
        <v>29</v>
      </c>
      <c r="F729">
        <v>45</v>
      </c>
      <c r="G729" t="s">
        <v>36</v>
      </c>
      <c r="H729" s="2">
        <v>39347</v>
      </c>
      <c r="I729">
        <v>92293</v>
      </c>
      <c r="J729">
        <v>0</v>
      </c>
      <c r="K729">
        <v>92293</v>
      </c>
      <c r="L729" s="1" t="s">
        <v>30</v>
      </c>
      <c r="M729" s="1" t="s">
        <v>102</v>
      </c>
      <c r="N729" s="2"/>
      <c r="O729">
        <v>728</v>
      </c>
      <c r="P729">
        <v>0</v>
      </c>
      <c r="Q729" t="s">
        <v>25</v>
      </c>
      <c r="R729">
        <f ca="1">DATEDIF(EMP_RAW_Data[[#This Row],[Hire Date]],IF(EMP_RAW_Data[[#This Row],[Exit Date]]="",TODAY(),EMP_RAW_Data[[#This Row],[Exit Date]]),"Y")</f>
        <v>18</v>
      </c>
      <c r="S729" t="str">
        <f>IF(EMP_RAW_Data[[#This Row],[Status]]=1,"Inactive","Active")</f>
        <v>Active</v>
      </c>
    </row>
    <row r="730" spans="1:19" x14ac:dyDescent="0.3">
      <c r="A730" s="1" t="s">
        <v>813</v>
      </c>
      <c r="B730" s="1" t="s">
        <v>230</v>
      </c>
      <c r="C730" s="1" t="s">
        <v>19</v>
      </c>
      <c r="D730" s="1" t="s">
        <v>47</v>
      </c>
      <c r="E730" s="1" t="s">
        <v>29</v>
      </c>
      <c r="F730">
        <v>54</v>
      </c>
      <c r="G730" t="s">
        <v>36</v>
      </c>
      <c r="H730" s="2">
        <v>33785</v>
      </c>
      <c r="I730">
        <v>63196</v>
      </c>
      <c r="J730">
        <v>0</v>
      </c>
      <c r="K730">
        <v>63196</v>
      </c>
      <c r="L730" s="1" t="s">
        <v>23</v>
      </c>
      <c r="M730" s="1" t="s">
        <v>37</v>
      </c>
      <c r="N730" s="2">
        <v>41938</v>
      </c>
      <c r="O730">
        <v>729</v>
      </c>
      <c r="P730">
        <v>1</v>
      </c>
      <c r="Q730" t="s">
        <v>25</v>
      </c>
      <c r="R730">
        <f ca="1">DATEDIF(EMP_RAW_Data[[#This Row],[Hire Date]],IF(EMP_RAW_Data[[#This Row],[Exit Date]]="",TODAY(),EMP_RAW_Data[[#This Row],[Exit Date]]),"Y")</f>
        <v>22</v>
      </c>
      <c r="S730" t="str">
        <f>IF(EMP_RAW_Data[[#This Row],[Status]]=1,"Inactive","Active")</f>
        <v>Inactive</v>
      </c>
    </row>
    <row r="731" spans="1:19" x14ac:dyDescent="0.3">
      <c r="A731" s="1" t="s">
        <v>814</v>
      </c>
      <c r="B731" s="1" t="s">
        <v>180</v>
      </c>
      <c r="C731" s="1" t="s">
        <v>62</v>
      </c>
      <c r="D731" s="1" t="s">
        <v>35</v>
      </c>
      <c r="E731" s="1" t="s">
        <v>21</v>
      </c>
      <c r="F731">
        <v>48</v>
      </c>
      <c r="G731" t="s">
        <v>36</v>
      </c>
      <c r="H731" s="2">
        <v>41032</v>
      </c>
      <c r="I731">
        <v>65340</v>
      </c>
      <c r="J731">
        <v>0</v>
      </c>
      <c r="K731">
        <v>65340</v>
      </c>
      <c r="L731" s="1" t="s">
        <v>30</v>
      </c>
      <c r="M731" s="1" t="s">
        <v>65</v>
      </c>
      <c r="N731" s="2">
        <v>43229</v>
      </c>
      <c r="O731">
        <v>730</v>
      </c>
      <c r="P731">
        <v>1</v>
      </c>
      <c r="Q731" t="s">
        <v>25</v>
      </c>
      <c r="R731">
        <f ca="1">DATEDIF(EMP_RAW_Data[[#This Row],[Hire Date]],IF(EMP_RAW_Data[[#This Row],[Exit Date]]="",TODAY(),EMP_RAW_Data[[#This Row],[Exit Date]]),"Y")</f>
        <v>6</v>
      </c>
      <c r="S731" t="str">
        <f>IF(EMP_RAW_Data[[#This Row],[Status]]=1,"Inactive","Active")</f>
        <v>Inactive</v>
      </c>
    </row>
    <row r="732" spans="1:19" x14ac:dyDescent="0.3">
      <c r="A732" s="1" t="s">
        <v>815</v>
      </c>
      <c r="B732" s="1" t="s">
        <v>68</v>
      </c>
      <c r="C732" s="1" t="s">
        <v>69</v>
      </c>
      <c r="D732" s="1" t="s">
        <v>47</v>
      </c>
      <c r="E732" s="1" t="s">
        <v>29</v>
      </c>
      <c r="F732">
        <v>45</v>
      </c>
      <c r="G732" t="s">
        <v>36</v>
      </c>
      <c r="H732" s="2">
        <v>42271</v>
      </c>
      <c r="I732">
        <v>202680</v>
      </c>
      <c r="J732">
        <v>0.32</v>
      </c>
      <c r="K732">
        <v>267537.59999999998</v>
      </c>
      <c r="L732" s="1" t="s">
        <v>23</v>
      </c>
      <c r="M732" s="1" t="s">
        <v>43</v>
      </c>
      <c r="N732" s="2">
        <v>44790</v>
      </c>
      <c r="O732">
        <v>731</v>
      </c>
      <c r="P732">
        <v>1</v>
      </c>
      <c r="Q732" t="s">
        <v>25</v>
      </c>
      <c r="R732">
        <f ca="1">DATEDIF(EMP_RAW_Data[[#This Row],[Hire Date]],IF(EMP_RAW_Data[[#This Row],[Exit Date]]="",TODAY(),EMP_RAW_Data[[#This Row],[Exit Date]]),"Y")</f>
        <v>6</v>
      </c>
      <c r="S732" t="str">
        <f>IF(EMP_RAW_Data[[#This Row],[Status]]=1,"Inactive","Active")</f>
        <v>Inactive</v>
      </c>
    </row>
    <row r="733" spans="1:19" hidden="1" x14ac:dyDescent="0.3">
      <c r="A733" s="1" t="s">
        <v>816</v>
      </c>
      <c r="B733" s="1" t="s">
        <v>39</v>
      </c>
      <c r="C733" s="1" t="s">
        <v>19</v>
      </c>
      <c r="D733" s="1" t="s">
        <v>28</v>
      </c>
      <c r="E733" s="1" t="s">
        <v>21</v>
      </c>
      <c r="F733">
        <v>46</v>
      </c>
      <c r="G733" t="s">
        <v>36</v>
      </c>
      <c r="H733" s="2">
        <v>42849</v>
      </c>
      <c r="I733">
        <v>77461</v>
      </c>
      <c r="J733">
        <v>0.09</v>
      </c>
      <c r="K733">
        <v>84432.49</v>
      </c>
      <c r="L733" s="1" t="s">
        <v>77</v>
      </c>
      <c r="M733" s="1" t="s">
        <v>148</v>
      </c>
      <c r="N733" s="2"/>
      <c r="O733">
        <v>732</v>
      </c>
      <c r="P733">
        <v>0</v>
      </c>
      <c r="Q733" t="s">
        <v>25</v>
      </c>
      <c r="R733">
        <f ca="1">DATEDIF(EMP_RAW_Data[[#This Row],[Hire Date]],IF(EMP_RAW_Data[[#This Row],[Exit Date]]="",TODAY(),EMP_RAW_Data[[#This Row],[Exit Date]]),"Y")</f>
        <v>8</v>
      </c>
      <c r="S733" t="str">
        <f>IF(EMP_RAW_Data[[#This Row],[Status]]=1,"Inactive","Active")</f>
        <v>Active</v>
      </c>
    </row>
    <row r="734" spans="1:19" hidden="1" x14ac:dyDescent="0.3">
      <c r="A734" s="1" t="s">
        <v>817</v>
      </c>
      <c r="B734" s="1" t="s">
        <v>128</v>
      </c>
      <c r="C734" s="1" t="s">
        <v>62</v>
      </c>
      <c r="D734" s="1" t="s">
        <v>20</v>
      </c>
      <c r="E734" s="1" t="s">
        <v>21</v>
      </c>
      <c r="F734">
        <v>40</v>
      </c>
      <c r="G734" t="s">
        <v>59</v>
      </c>
      <c r="H734" s="2">
        <v>42622</v>
      </c>
      <c r="I734">
        <v>109680</v>
      </c>
      <c r="J734">
        <v>0</v>
      </c>
      <c r="K734">
        <v>109680</v>
      </c>
      <c r="L734" s="1" t="s">
        <v>30</v>
      </c>
      <c r="M734" s="1" t="s">
        <v>102</v>
      </c>
      <c r="N734" s="2"/>
      <c r="O734">
        <v>733</v>
      </c>
      <c r="P734">
        <v>0</v>
      </c>
      <c r="Q734" t="s">
        <v>25</v>
      </c>
      <c r="R734">
        <f ca="1">DATEDIF(EMP_RAW_Data[[#This Row],[Hire Date]],IF(EMP_RAW_Data[[#This Row],[Exit Date]]="",TODAY(),EMP_RAW_Data[[#This Row],[Exit Date]]),"Y")</f>
        <v>9</v>
      </c>
      <c r="S734" t="str">
        <f>IF(EMP_RAW_Data[[#This Row],[Status]]=1,"Inactive","Active")</f>
        <v>Active</v>
      </c>
    </row>
    <row r="735" spans="1:19" hidden="1" x14ac:dyDescent="0.3">
      <c r="A735" s="1" t="s">
        <v>818</v>
      </c>
      <c r="B735" s="1" t="s">
        <v>33</v>
      </c>
      <c r="C735" s="1" t="s">
        <v>46</v>
      </c>
      <c r="D735" s="1" t="s">
        <v>28</v>
      </c>
      <c r="E735" s="1" t="s">
        <v>21</v>
      </c>
      <c r="F735">
        <v>61</v>
      </c>
      <c r="G735" t="s">
        <v>22</v>
      </c>
      <c r="H735" s="2">
        <v>35661</v>
      </c>
      <c r="I735">
        <v>159567</v>
      </c>
      <c r="J735">
        <v>0.28000000000000003</v>
      </c>
      <c r="K735">
        <v>204245.76000000001</v>
      </c>
      <c r="L735" s="1" t="s">
        <v>23</v>
      </c>
      <c r="M735" s="1" t="s">
        <v>43</v>
      </c>
      <c r="N735" s="2"/>
      <c r="O735">
        <v>734</v>
      </c>
      <c r="P735">
        <v>0</v>
      </c>
      <c r="Q735" t="s">
        <v>25</v>
      </c>
      <c r="R735">
        <f ca="1">DATEDIF(EMP_RAW_Data[[#This Row],[Hire Date]],IF(EMP_RAW_Data[[#This Row],[Exit Date]]="",TODAY(),EMP_RAW_Data[[#This Row],[Exit Date]]),"Y")</f>
        <v>28</v>
      </c>
      <c r="S735" t="str">
        <f>IF(EMP_RAW_Data[[#This Row],[Status]]=1,"Inactive","Active")</f>
        <v>Active</v>
      </c>
    </row>
    <row r="736" spans="1:19" hidden="1" x14ac:dyDescent="0.3">
      <c r="A736" s="1" t="s">
        <v>819</v>
      </c>
      <c r="B736" s="1" t="s">
        <v>180</v>
      </c>
      <c r="C736" s="1" t="s">
        <v>62</v>
      </c>
      <c r="D736" s="1" t="s">
        <v>35</v>
      </c>
      <c r="E736" s="1" t="s">
        <v>29</v>
      </c>
      <c r="F736">
        <v>54</v>
      </c>
      <c r="G736" t="s">
        <v>36</v>
      </c>
      <c r="H736" s="2">
        <v>41237</v>
      </c>
      <c r="I736">
        <v>94407</v>
      </c>
      <c r="J736">
        <v>0</v>
      </c>
      <c r="K736">
        <v>94407</v>
      </c>
      <c r="L736" s="1" t="s">
        <v>77</v>
      </c>
      <c r="M736" s="1" t="s">
        <v>148</v>
      </c>
      <c r="N736" s="2"/>
      <c r="O736">
        <v>735</v>
      </c>
      <c r="P736">
        <v>0</v>
      </c>
      <c r="Q736" t="s">
        <v>25</v>
      </c>
      <c r="R736">
        <f ca="1">DATEDIF(EMP_RAW_Data[[#This Row],[Hire Date]],IF(EMP_RAW_Data[[#This Row],[Exit Date]]="",TODAY(),EMP_RAW_Data[[#This Row],[Exit Date]]),"Y")</f>
        <v>13</v>
      </c>
      <c r="S736" t="str">
        <f>IF(EMP_RAW_Data[[#This Row],[Status]]=1,"Inactive","Active")</f>
        <v>Active</v>
      </c>
    </row>
    <row r="737" spans="1:19" hidden="1" x14ac:dyDescent="0.3">
      <c r="A737" s="1" t="s">
        <v>820</v>
      </c>
      <c r="B737" s="1" t="s">
        <v>68</v>
      </c>
      <c r="C737" s="1" t="s">
        <v>58</v>
      </c>
      <c r="D737" s="1" t="s">
        <v>47</v>
      </c>
      <c r="E737" s="1" t="s">
        <v>29</v>
      </c>
      <c r="F737">
        <v>62</v>
      </c>
      <c r="G737" t="s">
        <v>22</v>
      </c>
      <c r="H737" s="2">
        <v>37484</v>
      </c>
      <c r="I737">
        <v>234594</v>
      </c>
      <c r="J737">
        <v>0.33</v>
      </c>
      <c r="K737">
        <v>312010.02</v>
      </c>
      <c r="L737" s="1" t="s">
        <v>23</v>
      </c>
      <c r="M737" s="1" t="s">
        <v>24</v>
      </c>
      <c r="N737" s="2"/>
      <c r="O737">
        <v>736</v>
      </c>
      <c r="P737">
        <v>0</v>
      </c>
      <c r="Q737" t="s">
        <v>25</v>
      </c>
      <c r="R737">
        <f ca="1">DATEDIF(EMP_RAW_Data[[#This Row],[Hire Date]],IF(EMP_RAW_Data[[#This Row],[Exit Date]]="",TODAY(),EMP_RAW_Data[[#This Row],[Exit Date]]),"Y")</f>
        <v>23</v>
      </c>
      <c r="S737" t="str">
        <f>IF(EMP_RAW_Data[[#This Row],[Status]]=1,"Inactive","Active")</f>
        <v>Active</v>
      </c>
    </row>
    <row r="738" spans="1:19" hidden="1" x14ac:dyDescent="0.3">
      <c r="A738" s="1" t="s">
        <v>821</v>
      </c>
      <c r="B738" s="1" t="s">
        <v>208</v>
      </c>
      <c r="C738" s="1" t="s">
        <v>19</v>
      </c>
      <c r="D738" s="1" t="s">
        <v>35</v>
      </c>
      <c r="E738" s="1" t="s">
        <v>29</v>
      </c>
      <c r="F738">
        <v>48</v>
      </c>
      <c r="G738" t="s">
        <v>36</v>
      </c>
      <c r="H738" s="2">
        <v>37298</v>
      </c>
      <c r="I738">
        <v>43080</v>
      </c>
      <c r="J738">
        <v>0</v>
      </c>
      <c r="K738">
        <v>43080</v>
      </c>
      <c r="L738" s="1" t="s">
        <v>23</v>
      </c>
      <c r="M738" s="1" t="s">
        <v>55</v>
      </c>
      <c r="N738" s="2"/>
      <c r="O738">
        <v>737</v>
      </c>
      <c r="P738">
        <v>0</v>
      </c>
      <c r="Q738" t="s">
        <v>25</v>
      </c>
      <c r="R738">
        <f ca="1">DATEDIF(EMP_RAW_Data[[#This Row],[Hire Date]],IF(EMP_RAW_Data[[#This Row],[Exit Date]]="",TODAY(),EMP_RAW_Data[[#This Row],[Exit Date]]),"Y")</f>
        <v>24</v>
      </c>
      <c r="S738" t="str">
        <f>IF(EMP_RAW_Data[[#This Row],[Status]]=1,"Inactive","Active")</f>
        <v>Active</v>
      </c>
    </row>
    <row r="739" spans="1:19" x14ac:dyDescent="0.3">
      <c r="A739" s="1" t="s">
        <v>822</v>
      </c>
      <c r="B739" s="1" t="s">
        <v>49</v>
      </c>
      <c r="C739" s="1" t="s">
        <v>69</v>
      </c>
      <c r="D739" s="1" t="s">
        <v>28</v>
      </c>
      <c r="E739" s="1" t="s">
        <v>21</v>
      </c>
      <c r="F739">
        <v>29</v>
      </c>
      <c r="G739" t="s">
        <v>40</v>
      </c>
      <c r="H739" s="2">
        <v>44325</v>
      </c>
      <c r="I739">
        <v>129541</v>
      </c>
      <c r="J739">
        <v>0.08</v>
      </c>
      <c r="K739">
        <v>139904.28</v>
      </c>
      <c r="L739" s="1" t="s">
        <v>23</v>
      </c>
      <c r="M739" s="1" t="s">
        <v>43</v>
      </c>
      <c r="N739" s="2">
        <v>44340</v>
      </c>
      <c r="O739">
        <v>738</v>
      </c>
      <c r="P739">
        <v>1</v>
      </c>
      <c r="Q739" t="s">
        <v>25</v>
      </c>
      <c r="R739">
        <f ca="1">DATEDIF(EMP_RAW_Data[[#This Row],[Hire Date]],IF(EMP_RAW_Data[[#This Row],[Exit Date]]="",TODAY(),EMP_RAW_Data[[#This Row],[Exit Date]]),"Y")</f>
        <v>0</v>
      </c>
      <c r="S739" t="str">
        <f>IF(EMP_RAW_Data[[#This Row],[Status]]=1,"Inactive","Active")</f>
        <v>Inactive</v>
      </c>
    </row>
    <row r="740" spans="1:19" x14ac:dyDescent="0.3">
      <c r="A740" s="1" t="s">
        <v>823</v>
      </c>
      <c r="B740" s="1" t="s">
        <v>33</v>
      </c>
      <c r="C740" s="1" t="s">
        <v>46</v>
      </c>
      <c r="D740" s="1" t="s">
        <v>20</v>
      </c>
      <c r="E740" s="1" t="s">
        <v>29</v>
      </c>
      <c r="F740">
        <v>39</v>
      </c>
      <c r="G740" t="s">
        <v>59</v>
      </c>
      <c r="H740" s="2">
        <v>41635</v>
      </c>
      <c r="I740">
        <v>165756</v>
      </c>
      <c r="J740">
        <v>0.28000000000000003</v>
      </c>
      <c r="K740">
        <v>212167.67999999999</v>
      </c>
      <c r="L740" s="1" t="s">
        <v>23</v>
      </c>
      <c r="M740" s="1" t="s">
        <v>74</v>
      </c>
      <c r="N740" s="2">
        <v>43991</v>
      </c>
      <c r="O740">
        <v>739</v>
      </c>
      <c r="P740">
        <v>1</v>
      </c>
      <c r="Q740" t="s">
        <v>25</v>
      </c>
      <c r="R740">
        <f ca="1">DATEDIF(EMP_RAW_Data[[#This Row],[Hire Date]],IF(EMP_RAW_Data[[#This Row],[Exit Date]]="",TODAY(),EMP_RAW_Data[[#This Row],[Exit Date]]),"Y")</f>
        <v>6</v>
      </c>
      <c r="S740" t="str">
        <f>IF(EMP_RAW_Data[[#This Row],[Status]]=1,"Inactive","Active")</f>
        <v>Inactive</v>
      </c>
    </row>
    <row r="741" spans="1:19" hidden="1" x14ac:dyDescent="0.3">
      <c r="A741" s="1" t="s">
        <v>824</v>
      </c>
      <c r="B741" s="1" t="s">
        <v>18</v>
      </c>
      <c r="C741" s="1" t="s">
        <v>34</v>
      </c>
      <c r="D741" s="1" t="s">
        <v>35</v>
      </c>
      <c r="E741" s="1" t="s">
        <v>29</v>
      </c>
      <c r="F741">
        <v>44</v>
      </c>
      <c r="G741" t="s">
        <v>59</v>
      </c>
      <c r="H741" s="2">
        <v>40274</v>
      </c>
      <c r="I741">
        <v>142878</v>
      </c>
      <c r="J741">
        <v>0.12</v>
      </c>
      <c r="K741">
        <v>160023.35999999999</v>
      </c>
      <c r="L741" s="1" t="s">
        <v>23</v>
      </c>
      <c r="M741" s="1" t="s">
        <v>74</v>
      </c>
      <c r="N741" s="2"/>
      <c r="O741">
        <v>740</v>
      </c>
      <c r="P741">
        <v>0</v>
      </c>
      <c r="Q741" t="s">
        <v>25</v>
      </c>
      <c r="R741">
        <f ca="1">DATEDIF(EMP_RAW_Data[[#This Row],[Hire Date]],IF(EMP_RAW_Data[[#This Row],[Exit Date]]="",TODAY(),EMP_RAW_Data[[#This Row],[Exit Date]]),"Y")</f>
        <v>15</v>
      </c>
      <c r="S741" t="str">
        <f>IF(EMP_RAW_Data[[#This Row],[Status]]=1,"Inactive","Active")</f>
        <v>Active</v>
      </c>
    </row>
    <row r="742" spans="1:19" hidden="1" x14ac:dyDescent="0.3">
      <c r="A742" s="1" t="s">
        <v>825</v>
      </c>
      <c r="B742" s="1" t="s">
        <v>33</v>
      </c>
      <c r="C742" s="1" t="s">
        <v>62</v>
      </c>
      <c r="D742" s="1" t="s">
        <v>28</v>
      </c>
      <c r="E742" s="1" t="s">
        <v>29</v>
      </c>
      <c r="F742">
        <v>52</v>
      </c>
      <c r="G742" t="s">
        <v>36</v>
      </c>
      <c r="H742" s="2">
        <v>39018</v>
      </c>
      <c r="I742">
        <v>187992</v>
      </c>
      <c r="J742">
        <v>0.28000000000000003</v>
      </c>
      <c r="K742">
        <v>240629.76000000001</v>
      </c>
      <c r="L742" s="1" t="s">
        <v>23</v>
      </c>
      <c r="M742" s="1" t="s">
        <v>52</v>
      </c>
      <c r="N742" s="2"/>
      <c r="O742">
        <v>741</v>
      </c>
      <c r="P742">
        <v>0</v>
      </c>
      <c r="Q742" t="s">
        <v>25</v>
      </c>
      <c r="R742">
        <f ca="1">DATEDIF(EMP_RAW_Data[[#This Row],[Hire Date]],IF(EMP_RAW_Data[[#This Row],[Exit Date]]="",TODAY(),EMP_RAW_Data[[#This Row],[Exit Date]]),"Y")</f>
        <v>19</v>
      </c>
      <c r="S742" t="str">
        <f>IF(EMP_RAW_Data[[#This Row],[Status]]=1,"Inactive","Active")</f>
        <v>Active</v>
      </c>
    </row>
    <row r="743" spans="1:19" hidden="1" x14ac:dyDescent="0.3">
      <c r="A743" s="1" t="s">
        <v>826</v>
      </c>
      <c r="B743" s="1" t="s">
        <v>68</v>
      </c>
      <c r="C743" s="1" t="s">
        <v>58</v>
      </c>
      <c r="D743" s="1" t="s">
        <v>35</v>
      </c>
      <c r="E743" s="1" t="s">
        <v>21</v>
      </c>
      <c r="F743">
        <v>45</v>
      </c>
      <c r="G743" t="s">
        <v>36</v>
      </c>
      <c r="H743" s="2">
        <v>43521</v>
      </c>
      <c r="I743">
        <v>249801</v>
      </c>
      <c r="J743">
        <v>0.39</v>
      </c>
      <c r="K743">
        <v>347223.39</v>
      </c>
      <c r="L743" s="1" t="s">
        <v>77</v>
      </c>
      <c r="M743" s="1" t="s">
        <v>148</v>
      </c>
      <c r="N743" s="2"/>
      <c r="O743">
        <v>742</v>
      </c>
      <c r="P743">
        <v>0</v>
      </c>
      <c r="Q743" t="s">
        <v>25</v>
      </c>
      <c r="R743">
        <f ca="1">DATEDIF(EMP_RAW_Data[[#This Row],[Hire Date]],IF(EMP_RAW_Data[[#This Row],[Exit Date]]="",TODAY(),EMP_RAW_Data[[#This Row],[Exit Date]]),"Y")</f>
        <v>7</v>
      </c>
      <c r="S743" t="str">
        <f>IF(EMP_RAW_Data[[#This Row],[Status]]=1,"Inactive","Active")</f>
        <v>Active</v>
      </c>
    </row>
    <row r="744" spans="1:19" x14ac:dyDescent="0.3">
      <c r="A744" s="1" t="s">
        <v>827</v>
      </c>
      <c r="B744" s="1" t="s">
        <v>290</v>
      </c>
      <c r="C744" s="1" t="s">
        <v>19</v>
      </c>
      <c r="D744" s="1" t="s">
        <v>20</v>
      </c>
      <c r="E744" s="1" t="s">
        <v>29</v>
      </c>
      <c r="F744">
        <v>48</v>
      </c>
      <c r="G744" t="s">
        <v>36</v>
      </c>
      <c r="H744" s="2">
        <v>38987</v>
      </c>
      <c r="I744">
        <v>76505</v>
      </c>
      <c r="J744">
        <v>0</v>
      </c>
      <c r="K744">
        <v>76505</v>
      </c>
      <c r="L744" s="1" t="s">
        <v>23</v>
      </c>
      <c r="M744" s="1" t="s">
        <v>24</v>
      </c>
      <c r="N744" s="2">
        <v>39180</v>
      </c>
      <c r="O744">
        <v>743</v>
      </c>
      <c r="P744">
        <v>1</v>
      </c>
      <c r="Q744" t="s">
        <v>25</v>
      </c>
      <c r="R744">
        <f ca="1">DATEDIF(EMP_RAW_Data[[#This Row],[Hire Date]],IF(EMP_RAW_Data[[#This Row],[Exit Date]]="",TODAY(),EMP_RAW_Data[[#This Row],[Exit Date]]),"Y")</f>
        <v>0</v>
      </c>
      <c r="S744" t="str">
        <f>IF(EMP_RAW_Data[[#This Row],[Status]]=1,"Inactive","Active")</f>
        <v>Inactive</v>
      </c>
    </row>
    <row r="745" spans="1:19" hidden="1" x14ac:dyDescent="0.3">
      <c r="A745" s="1" t="s">
        <v>828</v>
      </c>
      <c r="B745" s="1" t="s">
        <v>278</v>
      </c>
      <c r="C745" s="1" t="s">
        <v>19</v>
      </c>
      <c r="D745" s="1" t="s">
        <v>47</v>
      </c>
      <c r="E745" s="1" t="s">
        <v>29</v>
      </c>
      <c r="F745">
        <v>39</v>
      </c>
      <c r="G745" t="s">
        <v>59</v>
      </c>
      <c r="H745" s="2">
        <v>42664</v>
      </c>
      <c r="I745">
        <v>84297</v>
      </c>
      <c r="J745">
        <v>0</v>
      </c>
      <c r="K745">
        <v>84297</v>
      </c>
      <c r="L745" s="1" t="s">
        <v>77</v>
      </c>
      <c r="M745" s="1" t="s">
        <v>78</v>
      </c>
      <c r="N745" s="2"/>
      <c r="O745">
        <v>744</v>
      </c>
      <c r="P745">
        <v>0</v>
      </c>
      <c r="Q745" t="s">
        <v>25</v>
      </c>
      <c r="R745">
        <f ca="1">DATEDIF(EMP_RAW_Data[[#This Row],[Hire Date]],IF(EMP_RAW_Data[[#This Row],[Exit Date]]="",TODAY(),EMP_RAW_Data[[#This Row],[Exit Date]]),"Y")</f>
        <v>9</v>
      </c>
      <c r="S745" t="str">
        <f>IF(EMP_RAW_Data[[#This Row],[Status]]=1,"Inactive","Active")</f>
        <v>Active</v>
      </c>
    </row>
    <row r="746" spans="1:19" x14ac:dyDescent="0.3">
      <c r="A746" s="1" t="s">
        <v>829</v>
      </c>
      <c r="B746" s="1" t="s">
        <v>42</v>
      </c>
      <c r="C746" s="1" t="s">
        <v>46</v>
      </c>
      <c r="D746" s="1" t="s">
        <v>35</v>
      </c>
      <c r="E746" s="1" t="s">
        <v>21</v>
      </c>
      <c r="F746">
        <v>53</v>
      </c>
      <c r="G746" t="s">
        <v>36</v>
      </c>
      <c r="H746" s="2">
        <v>42744</v>
      </c>
      <c r="I746">
        <v>75769</v>
      </c>
      <c r="J746">
        <v>0</v>
      </c>
      <c r="K746">
        <v>75769</v>
      </c>
      <c r="L746" s="1" t="s">
        <v>77</v>
      </c>
      <c r="M746" s="1" t="s">
        <v>78</v>
      </c>
      <c r="N746" s="2">
        <v>44029</v>
      </c>
      <c r="O746">
        <v>745</v>
      </c>
      <c r="P746">
        <v>1</v>
      </c>
      <c r="Q746" t="s">
        <v>25</v>
      </c>
      <c r="R746">
        <f ca="1">DATEDIF(EMP_RAW_Data[[#This Row],[Hire Date]],IF(EMP_RAW_Data[[#This Row],[Exit Date]]="",TODAY(),EMP_RAW_Data[[#This Row],[Exit Date]]),"Y")</f>
        <v>3</v>
      </c>
      <c r="S746" t="str">
        <f>IF(EMP_RAW_Data[[#This Row],[Status]]=1,"Inactive","Active")</f>
        <v>Inactive</v>
      </c>
    </row>
    <row r="747" spans="1:19" hidden="1" x14ac:dyDescent="0.3">
      <c r="A747" s="1" t="s">
        <v>830</v>
      </c>
      <c r="B747" s="1" t="s">
        <v>68</v>
      </c>
      <c r="C747" s="1" t="s">
        <v>54</v>
      </c>
      <c r="D747" s="1" t="s">
        <v>35</v>
      </c>
      <c r="E747" s="1" t="s">
        <v>29</v>
      </c>
      <c r="F747">
        <v>41</v>
      </c>
      <c r="G747" t="s">
        <v>59</v>
      </c>
      <c r="H747" s="2">
        <v>41503</v>
      </c>
      <c r="I747">
        <v>235619</v>
      </c>
      <c r="J747">
        <v>0.3</v>
      </c>
      <c r="K747">
        <v>306304.7</v>
      </c>
      <c r="L747" s="1" t="s">
        <v>23</v>
      </c>
      <c r="M747" s="1" t="s">
        <v>24</v>
      </c>
      <c r="N747" s="2"/>
      <c r="O747">
        <v>746</v>
      </c>
      <c r="P747">
        <v>0</v>
      </c>
      <c r="Q747" t="s">
        <v>25</v>
      </c>
      <c r="R747">
        <f ca="1">DATEDIF(EMP_RAW_Data[[#This Row],[Hire Date]],IF(EMP_RAW_Data[[#This Row],[Exit Date]]="",TODAY(),EMP_RAW_Data[[#This Row],[Exit Date]]),"Y")</f>
        <v>12</v>
      </c>
      <c r="S747" t="str">
        <f>IF(EMP_RAW_Data[[#This Row],[Status]]=1,"Inactive","Active")</f>
        <v>Active</v>
      </c>
    </row>
    <row r="748" spans="1:19" hidden="1" x14ac:dyDescent="0.3">
      <c r="A748" s="1" t="s">
        <v>831</v>
      </c>
      <c r="B748" s="1" t="s">
        <v>33</v>
      </c>
      <c r="C748" s="1" t="s">
        <v>62</v>
      </c>
      <c r="D748" s="1" t="s">
        <v>35</v>
      </c>
      <c r="E748" s="1" t="s">
        <v>29</v>
      </c>
      <c r="F748">
        <v>40</v>
      </c>
      <c r="G748" t="s">
        <v>59</v>
      </c>
      <c r="H748" s="2">
        <v>43868</v>
      </c>
      <c r="I748">
        <v>187187</v>
      </c>
      <c r="J748">
        <v>0.18</v>
      </c>
      <c r="K748">
        <v>220880.66</v>
      </c>
      <c r="L748" s="1" t="s">
        <v>77</v>
      </c>
      <c r="M748" s="1" t="s">
        <v>78</v>
      </c>
      <c r="N748" s="2"/>
      <c r="O748">
        <v>747</v>
      </c>
      <c r="P748">
        <v>0</v>
      </c>
      <c r="Q748" t="s">
        <v>25</v>
      </c>
      <c r="R748">
        <f ca="1">DATEDIF(EMP_RAW_Data[[#This Row],[Hire Date]],IF(EMP_RAW_Data[[#This Row],[Exit Date]]="",TODAY(),EMP_RAW_Data[[#This Row],[Exit Date]]),"Y")</f>
        <v>6</v>
      </c>
      <c r="S748" t="str">
        <f>IF(EMP_RAW_Data[[#This Row],[Status]]=1,"Inactive","Active")</f>
        <v>Active</v>
      </c>
    </row>
    <row r="749" spans="1:19" x14ac:dyDescent="0.3">
      <c r="A749" s="1" t="s">
        <v>832</v>
      </c>
      <c r="B749" s="1" t="s">
        <v>166</v>
      </c>
      <c r="C749" s="1" t="s">
        <v>19</v>
      </c>
      <c r="D749" s="1" t="s">
        <v>20</v>
      </c>
      <c r="E749" s="1" t="s">
        <v>29</v>
      </c>
      <c r="F749">
        <v>48</v>
      </c>
      <c r="G749" t="s">
        <v>36</v>
      </c>
      <c r="H749" s="2">
        <v>38560</v>
      </c>
      <c r="I749">
        <v>68987</v>
      </c>
      <c r="J749">
        <v>0</v>
      </c>
      <c r="K749">
        <v>68987</v>
      </c>
      <c r="L749" s="1" t="s">
        <v>23</v>
      </c>
      <c r="M749" s="1" t="s">
        <v>37</v>
      </c>
      <c r="N749" s="2">
        <v>38829</v>
      </c>
      <c r="O749">
        <v>748</v>
      </c>
      <c r="P749">
        <v>1</v>
      </c>
      <c r="Q749" t="s">
        <v>25</v>
      </c>
      <c r="R749">
        <f ca="1">DATEDIF(EMP_RAW_Data[[#This Row],[Hire Date]],IF(EMP_RAW_Data[[#This Row],[Exit Date]]="",TODAY(),EMP_RAW_Data[[#This Row],[Exit Date]]),"Y")</f>
        <v>0</v>
      </c>
      <c r="S749" t="str">
        <f>IF(EMP_RAW_Data[[#This Row],[Status]]=1,"Inactive","Active")</f>
        <v>Inactive</v>
      </c>
    </row>
    <row r="750" spans="1:19" x14ac:dyDescent="0.3">
      <c r="A750" s="1" t="s">
        <v>833</v>
      </c>
      <c r="B750" s="1" t="s">
        <v>33</v>
      </c>
      <c r="C750" s="1" t="s">
        <v>62</v>
      </c>
      <c r="D750" s="1" t="s">
        <v>35</v>
      </c>
      <c r="E750" s="1" t="s">
        <v>29</v>
      </c>
      <c r="F750">
        <v>41</v>
      </c>
      <c r="G750" t="s">
        <v>59</v>
      </c>
      <c r="H750" s="2">
        <v>39156</v>
      </c>
      <c r="I750">
        <v>155926</v>
      </c>
      <c r="J750">
        <v>0.24</v>
      </c>
      <c r="K750">
        <v>193348.24</v>
      </c>
      <c r="L750" s="1" t="s">
        <v>23</v>
      </c>
      <c r="M750" s="1" t="s">
        <v>74</v>
      </c>
      <c r="N750" s="2">
        <v>39598</v>
      </c>
      <c r="O750">
        <v>749</v>
      </c>
      <c r="P750">
        <v>1</v>
      </c>
      <c r="Q750" t="s">
        <v>25</v>
      </c>
      <c r="R750">
        <f ca="1">DATEDIF(EMP_RAW_Data[[#This Row],[Hire Date]],IF(EMP_RAW_Data[[#This Row],[Exit Date]]="",TODAY(),EMP_RAW_Data[[#This Row],[Exit Date]]),"Y")</f>
        <v>1</v>
      </c>
      <c r="S750" t="str">
        <f>IF(EMP_RAW_Data[[#This Row],[Status]]=1,"Inactive","Active")</f>
        <v>Inactive</v>
      </c>
    </row>
    <row r="751" spans="1:19" hidden="1" x14ac:dyDescent="0.3">
      <c r="A751" s="1" t="s">
        <v>834</v>
      </c>
      <c r="B751" s="1" t="s">
        <v>42</v>
      </c>
      <c r="C751" s="1" t="s">
        <v>54</v>
      </c>
      <c r="D751" s="1" t="s">
        <v>35</v>
      </c>
      <c r="E751" s="1" t="s">
        <v>29</v>
      </c>
      <c r="F751">
        <v>54</v>
      </c>
      <c r="G751" t="s">
        <v>36</v>
      </c>
      <c r="H751" s="2">
        <v>42494</v>
      </c>
      <c r="I751">
        <v>93668</v>
      </c>
      <c r="J751">
        <v>0</v>
      </c>
      <c r="K751">
        <v>93668</v>
      </c>
      <c r="L751" s="1" t="s">
        <v>23</v>
      </c>
      <c r="M751" s="1" t="s">
        <v>37</v>
      </c>
      <c r="N751" s="2"/>
      <c r="O751">
        <v>750</v>
      </c>
      <c r="P751">
        <v>0</v>
      </c>
      <c r="Q751" t="s">
        <v>25</v>
      </c>
      <c r="R751">
        <f ca="1">DATEDIF(EMP_RAW_Data[[#This Row],[Hire Date]],IF(EMP_RAW_Data[[#This Row],[Exit Date]]="",TODAY(),EMP_RAW_Data[[#This Row],[Exit Date]]),"Y")</f>
        <v>9</v>
      </c>
      <c r="S751" t="str">
        <f>IF(EMP_RAW_Data[[#This Row],[Status]]=1,"Inactive","Active")</f>
        <v>Active</v>
      </c>
    </row>
    <row r="752" spans="1:19" x14ac:dyDescent="0.3">
      <c r="A752" s="1" t="s">
        <v>835</v>
      </c>
      <c r="B752" s="1" t="s">
        <v>118</v>
      </c>
      <c r="C752" s="1" t="s">
        <v>58</v>
      </c>
      <c r="D752" s="1" t="s">
        <v>20</v>
      </c>
      <c r="E752" s="1" t="s">
        <v>29</v>
      </c>
      <c r="F752">
        <v>38</v>
      </c>
      <c r="G752" t="s">
        <v>59</v>
      </c>
      <c r="H752" s="2">
        <v>43798</v>
      </c>
      <c r="I752">
        <v>69647</v>
      </c>
      <c r="J752">
        <v>0</v>
      </c>
      <c r="K752">
        <v>69647</v>
      </c>
      <c r="L752" s="1" t="s">
        <v>23</v>
      </c>
      <c r="M752" s="1" t="s">
        <v>52</v>
      </c>
      <c r="N752" s="2">
        <v>44671</v>
      </c>
      <c r="O752">
        <v>751</v>
      </c>
      <c r="P752">
        <v>1</v>
      </c>
      <c r="Q752" t="s">
        <v>25</v>
      </c>
      <c r="R752">
        <f ca="1">DATEDIF(EMP_RAW_Data[[#This Row],[Hire Date]],IF(EMP_RAW_Data[[#This Row],[Exit Date]]="",TODAY(),EMP_RAW_Data[[#This Row],[Exit Date]]),"Y")</f>
        <v>2</v>
      </c>
      <c r="S752" t="str">
        <f>IF(EMP_RAW_Data[[#This Row],[Status]]=1,"Inactive","Active")</f>
        <v>Inactive</v>
      </c>
    </row>
    <row r="753" spans="1:19" hidden="1" x14ac:dyDescent="0.3">
      <c r="A753" s="1" t="s">
        <v>836</v>
      </c>
      <c r="B753" s="1" t="s">
        <v>192</v>
      </c>
      <c r="C753" s="1" t="s">
        <v>19</v>
      </c>
      <c r="D753" s="1" t="s">
        <v>47</v>
      </c>
      <c r="E753" s="1" t="s">
        <v>29</v>
      </c>
      <c r="F753">
        <v>57</v>
      </c>
      <c r="G753" t="s">
        <v>22</v>
      </c>
      <c r="H753" s="2">
        <v>37798</v>
      </c>
      <c r="I753">
        <v>63318</v>
      </c>
      <c r="J753">
        <v>0</v>
      </c>
      <c r="K753">
        <v>63318</v>
      </c>
      <c r="L753" s="1" t="s">
        <v>23</v>
      </c>
      <c r="M753" s="1" t="s">
        <v>74</v>
      </c>
      <c r="N753" s="2"/>
      <c r="O753">
        <v>752</v>
      </c>
      <c r="P753">
        <v>0</v>
      </c>
      <c r="Q753" t="s">
        <v>25</v>
      </c>
      <c r="R753">
        <f ca="1">DATEDIF(EMP_RAW_Data[[#This Row],[Hire Date]],IF(EMP_RAW_Data[[#This Row],[Exit Date]]="",TODAY(),EMP_RAW_Data[[#This Row],[Exit Date]]),"Y")</f>
        <v>22</v>
      </c>
      <c r="S753" t="str">
        <f>IF(EMP_RAW_Data[[#This Row],[Status]]=1,"Inactive","Active")</f>
        <v>Active</v>
      </c>
    </row>
    <row r="754" spans="1:19" hidden="1" x14ac:dyDescent="0.3">
      <c r="A754" s="1" t="s">
        <v>837</v>
      </c>
      <c r="B754" s="1" t="s">
        <v>42</v>
      </c>
      <c r="C754" s="1" t="s">
        <v>69</v>
      </c>
      <c r="D754" s="1" t="s">
        <v>28</v>
      </c>
      <c r="E754" s="1" t="s">
        <v>29</v>
      </c>
      <c r="F754">
        <v>63</v>
      </c>
      <c r="G754" t="s">
        <v>22</v>
      </c>
      <c r="H754" s="2">
        <v>42778</v>
      </c>
      <c r="I754">
        <v>77629</v>
      </c>
      <c r="J754">
        <v>0</v>
      </c>
      <c r="K754">
        <v>77629</v>
      </c>
      <c r="L754" s="1" t="s">
        <v>30</v>
      </c>
      <c r="M754" s="1" t="s">
        <v>90</v>
      </c>
      <c r="N754" s="2"/>
      <c r="O754">
        <v>753</v>
      </c>
      <c r="P754">
        <v>0</v>
      </c>
      <c r="Q754" t="s">
        <v>25</v>
      </c>
      <c r="R754">
        <f ca="1">DATEDIF(EMP_RAW_Data[[#This Row],[Hire Date]],IF(EMP_RAW_Data[[#This Row],[Exit Date]]="",TODAY(),EMP_RAW_Data[[#This Row],[Exit Date]]),"Y")</f>
        <v>9</v>
      </c>
      <c r="S754" t="str">
        <f>IF(EMP_RAW_Data[[#This Row],[Status]]=1,"Inactive","Active")</f>
        <v>Active</v>
      </c>
    </row>
    <row r="755" spans="1:19" hidden="1" x14ac:dyDescent="0.3">
      <c r="A755" s="1" t="s">
        <v>838</v>
      </c>
      <c r="B755" s="1" t="s">
        <v>18</v>
      </c>
      <c r="C755" s="1" t="s">
        <v>58</v>
      </c>
      <c r="D755" s="1" t="s">
        <v>28</v>
      </c>
      <c r="E755" s="1" t="s">
        <v>29</v>
      </c>
      <c r="F755">
        <v>62</v>
      </c>
      <c r="G755" t="s">
        <v>22</v>
      </c>
      <c r="H755" s="2">
        <v>43061</v>
      </c>
      <c r="I755">
        <v>138808</v>
      </c>
      <c r="J755">
        <v>0.15</v>
      </c>
      <c r="K755">
        <v>159629.20000000001</v>
      </c>
      <c r="L755" s="1" t="s">
        <v>30</v>
      </c>
      <c r="M755" s="1" t="s">
        <v>31</v>
      </c>
      <c r="N755" s="2"/>
      <c r="O755">
        <v>754</v>
      </c>
      <c r="P755">
        <v>0</v>
      </c>
      <c r="Q755" t="s">
        <v>25</v>
      </c>
      <c r="R755">
        <f ca="1">DATEDIF(EMP_RAW_Data[[#This Row],[Hire Date]],IF(EMP_RAW_Data[[#This Row],[Exit Date]]="",TODAY(),EMP_RAW_Data[[#This Row],[Exit Date]]),"Y")</f>
        <v>8</v>
      </c>
      <c r="S755" t="str">
        <f>IF(EMP_RAW_Data[[#This Row],[Status]]=1,"Inactive","Active")</f>
        <v>Active</v>
      </c>
    </row>
    <row r="756" spans="1:19" hidden="1" x14ac:dyDescent="0.3">
      <c r="A756" s="1" t="s">
        <v>839</v>
      </c>
      <c r="B756" s="1" t="s">
        <v>100</v>
      </c>
      <c r="C756" s="1" t="s">
        <v>19</v>
      </c>
      <c r="D756" s="1" t="s">
        <v>20</v>
      </c>
      <c r="E756" s="1" t="s">
        <v>21</v>
      </c>
      <c r="F756">
        <v>49</v>
      </c>
      <c r="G756" t="s">
        <v>36</v>
      </c>
      <c r="H756" s="2">
        <v>41703</v>
      </c>
      <c r="I756">
        <v>88777</v>
      </c>
      <c r="J756">
        <v>0</v>
      </c>
      <c r="K756">
        <v>88777</v>
      </c>
      <c r="L756" s="1" t="s">
        <v>23</v>
      </c>
      <c r="M756" s="1" t="s">
        <v>37</v>
      </c>
      <c r="N756" s="2"/>
      <c r="O756">
        <v>755</v>
      </c>
      <c r="P756">
        <v>0</v>
      </c>
      <c r="Q756" t="s">
        <v>25</v>
      </c>
      <c r="R756">
        <f ca="1">DATEDIF(EMP_RAW_Data[[#This Row],[Hire Date]],IF(EMP_RAW_Data[[#This Row],[Exit Date]]="",TODAY(),EMP_RAW_Data[[#This Row],[Exit Date]]),"Y")</f>
        <v>12</v>
      </c>
      <c r="S756" t="str">
        <f>IF(EMP_RAW_Data[[#This Row],[Status]]=1,"Inactive","Active")</f>
        <v>Active</v>
      </c>
    </row>
    <row r="757" spans="1:19" hidden="1" x14ac:dyDescent="0.3">
      <c r="A757" s="1" t="s">
        <v>840</v>
      </c>
      <c r="B757" s="1" t="s">
        <v>33</v>
      </c>
      <c r="C757" s="1" t="s">
        <v>54</v>
      </c>
      <c r="D757" s="1" t="s">
        <v>47</v>
      </c>
      <c r="E757" s="1" t="s">
        <v>21</v>
      </c>
      <c r="F757">
        <v>60</v>
      </c>
      <c r="G757" t="s">
        <v>22</v>
      </c>
      <c r="H757" s="2">
        <v>38121</v>
      </c>
      <c r="I757">
        <v>186378</v>
      </c>
      <c r="J757">
        <v>0.26</v>
      </c>
      <c r="K757">
        <v>234836.28</v>
      </c>
      <c r="L757" s="1" t="s">
        <v>30</v>
      </c>
      <c r="M757" s="1" t="s">
        <v>31</v>
      </c>
      <c r="N757" s="2"/>
      <c r="O757">
        <v>756</v>
      </c>
      <c r="P757">
        <v>0</v>
      </c>
      <c r="Q757" t="s">
        <v>25</v>
      </c>
      <c r="R757">
        <f ca="1">DATEDIF(EMP_RAW_Data[[#This Row],[Hire Date]],IF(EMP_RAW_Data[[#This Row],[Exit Date]]="",TODAY(),EMP_RAW_Data[[#This Row],[Exit Date]]),"Y")</f>
        <v>21</v>
      </c>
      <c r="S757" t="str">
        <f>IF(EMP_RAW_Data[[#This Row],[Status]]=1,"Inactive","Active")</f>
        <v>Active</v>
      </c>
    </row>
    <row r="758" spans="1:19" hidden="1" x14ac:dyDescent="0.3">
      <c r="A758" s="1" t="s">
        <v>841</v>
      </c>
      <c r="B758" s="1" t="s">
        <v>86</v>
      </c>
      <c r="C758" s="1" t="s">
        <v>62</v>
      </c>
      <c r="D758" s="1" t="s">
        <v>20</v>
      </c>
      <c r="E758" s="1" t="s">
        <v>21</v>
      </c>
      <c r="F758">
        <v>45</v>
      </c>
      <c r="G758" t="s">
        <v>36</v>
      </c>
      <c r="H758" s="2">
        <v>42117</v>
      </c>
      <c r="I758">
        <v>60017</v>
      </c>
      <c r="J758">
        <v>0</v>
      </c>
      <c r="K758">
        <v>60017</v>
      </c>
      <c r="L758" s="1" t="s">
        <v>23</v>
      </c>
      <c r="M758" s="1" t="s">
        <v>37</v>
      </c>
      <c r="N758" s="2"/>
      <c r="O758">
        <v>757</v>
      </c>
      <c r="P758">
        <v>0</v>
      </c>
      <c r="Q758" t="s">
        <v>25</v>
      </c>
      <c r="R758">
        <f ca="1">DATEDIF(EMP_RAW_Data[[#This Row],[Hire Date]],IF(EMP_RAW_Data[[#This Row],[Exit Date]]="",TODAY(),EMP_RAW_Data[[#This Row],[Exit Date]]),"Y")</f>
        <v>10</v>
      </c>
      <c r="S758" t="str">
        <f>IF(EMP_RAW_Data[[#This Row],[Status]]=1,"Inactive","Active")</f>
        <v>Active</v>
      </c>
    </row>
    <row r="759" spans="1:19" hidden="1" x14ac:dyDescent="0.3">
      <c r="A759" s="1" t="s">
        <v>842</v>
      </c>
      <c r="B759" s="1" t="s">
        <v>18</v>
      </c>
      <c r="C759" s="1" t="s">
        <v>46</v>
      </c>
      <c r="D759" s="1" t="s">
        <v>35</v>
      </c>
      <c r="E759" s="1" t="s">
        <v>21</v>
      </c>
      <c r="F759">
        <v>45</v>
      </c>
      <c r="G759" t="s">
        <v>36</v>
      </c>
      <c r="H759" s="2">
        <v>43305</v>
      </c>
      <c r="I759">
        <v>148991</v>
      </c>
      <c r="J759">
        <v>0.12</v>
      </c>
      <c r="K759">
        <v>166869.91999999998</v>
      </c>
      <c r="L759" s="1" t="s">
        <v>77</v>
      </c>
      <c r="M759" s="1" t="s">
        <v>148</v>
      </c>
      <c r="N759" s="2"/>
      <c r="O759">
        <v>758</v>
      </c>
      <c r="P759">
        <v>0</v>
      </c>
      <c r="Q759" t="s">
        <v>25</v>
      </c>
      <c r="R759">
        <f ca="1">DATEDIF(EMP_RAW_Data[[#This Row],[Hire Date]],IF(EMP_RAW_Data[[#This Row],[Exit Date]]="",TODAY(),EMP_RAW_Data[[#This Row],[Exit Date]]),"Y")</f>
        <v>7</v>
      </c>
      <c r="S759" t="str">
        <f>IF(EMP_RAW_Data[[#This Row],[Status]]=1,"Inactive","Active")</f>
        <v>Active</v>
      </c>
    </row>
    <row r="760" spans="1:19" hidden="1" x14ac:dyDescent="0.3">
      <c r="A760" s="1" t="s">
        <v>843</v>
      </c>
      <c r="B760" s="1" t="s">
        <v>124</v>
      </c>
      <c r="C760" s="1" t="s">
        <v>62</v>
      </c>
      <c r="D760" s="1" t="s">
        <v>35</v>
      </c>
      <c r="E760" s="1" t="s">
        <v>21</v>
      </c>
      <c r="F760">
        <v>52</v>
      </c>
      <c r="G760" t="s">
        <v>36</v>
      </c>
      <c r="H760" s="2">
        <v>39532</v>
      </c>
      <c r="I760">
        <v>97398</v>
      </c>
      <c r="J760">
        <v>0</v>
      </c>
      <c r="K760">
        <v>97398</v>
      </c>
      <c r="L760" s="1" t="s">
        <v>77</v>
      </c>
      <c r="M760" s="1" t="s">
        <v>78</v>
      </c>
      <c r="N760" s="2"/>
      <c r="O760">
        <v>759</v>
      </c>
      <c r="P760">
        <v>0</v>
      </c>
      <c r="Q760" t="s">
        <v>25</v>
      </c>
      <c r="R760">
        <f ca="1">DATEDIF(EMP_RAW_Data[[#This Row],[Hire Date]],IF(EMP_RAW_Data[[#This Row],[Exit Date]]="",TODAY(),EMP_RAW_Data[[#This Row],[Exit Date]]),"Y")</f>
        <v>17</v>
      </c>
      <c r="S760" t="str">
        <f>IF(EMP_RAW_Data[[#This Row],[Status]]=1,"Inactive","Active")</f>
        <v>Active</v>
      </c>
    </row>
    <row r="761" spans="1:19" hidden="1" x14ac:dyDescent="0.3">
      <c r="A761" s="1" t="s">
        <v>844</v>
      </c>
      <c r="B761" s="1" t="s">
        <v>107</v>
      </c>
      <c r="C761" s="1" t="s">
        <v>58</v>
      </c>
      <c r="D761" s="1" t="s">
        <v>28</v>
      </c>
      <c r="E761" s="1" t="s">
        <v>21</v>
      </c>
      <c r="F761">
        <v>63</v>
      </c>
      <c r="G761" t="s">
        <v>22</v>
      </c>
      <c r="H761" s="2">
        <v>39204</v>
      </c>
      <c r="I761">
        <v>72805</v>
      </c>
      <c r="J761">
        <v>0</v>
      </c>
      <c r="K761">
        <v>72805</v>
      </c>
      <c r="L761" s="1" t="s">
        <v>30</v>
      </c>
      <c r="M761" s="1" t="s">
        <v>65</v>
      </c>
      <c r="N761" s="2"/>
      <c r="O761">
        <v>760</v>
      </c>
      <c r="P761">
        <v>0</v>
      </c>
      <c r="Q761" t="s">
        <v>25</v>
      </c>
      <c r="R761">
        <f ca="1">DATEDIF(EMP_RAW_Data[[#This Row],[Hire Date]],IF(EMP_RAW_Data[[#This Row],[Exit Date]]="",TODAY(),EMP_RAW_Data[[#This Row],[Exit Date]]),"Y")</f>
        <v>18</v>
      </c>
      <c r="S761" t="str">
        <f>IF(EMP_RAW_Data[[#This Row],[Status]]=1,"Inactive","Active")</f>
        <v>Active</v>
      </c>
    </row>
    <row r="762" spans="1:19" hidden="1" x14ac:dyDescent="0.3">
      <c r="A762" s="1" t="s">
        <v>845</v>
      </c>
      <c r="B762" s="1" t="s">
        <v>189</v>
      </c>
      <c r="C762" s="1" t="s">
        <v>46</v>
      </c>
      <c r="D762" s="1" t="s">
        <v>20</v>
      </c>
      <c r="E762" s="1" t="s">
        <v>21</v>
      </c>
      <c r="F762">
        <v>46</v>
      </c>
      <c r="G762" t="s">
        <v>36</v>
      </c>
      <c r="H762" s="2">
        <v>44213</v>
      </c>
      <c r="I762">
        <v>72131</v>
      </c>
      <c r="J762">
        <v>0</v>
      </c>
      <c r="K762">
        <v>72131</v>
      </c>
      <c r="L762" s="1" t="s">
        <v>30</v>
      </c>
      <c r="M762" s="1" t="s">
        <v>65</v>
      </c>
      <c r="N762" s="2"/>
      <c r="O762">
        <v>761</v>
      </c>
      <c r="P762">
        <v>0</v>
      </c>
      <c r="Q762" t="s">
        <v>25</v>
      </c>
      <c r="R762">
        <f ca="1">DATEDIF(EMP_RAW_Data[[#This Row],[Hire Date]],IF(EMP_RAW_Data[[#This Row],[Exit Date]]="",TODAY(),EMP_RAW_Data[[#This Row],[Exit Date]]),"Y")</f>
        <v>5</v>
      </c>
      <c r="S762" t="str">
        <f>IF(EMP_RAW_Data[[#This Row],[Status]]=1,"Inactive","Active")</f>
        <v>Active</v>
      </c>
    </row>
    <row r="763" spans="1:19" hidden="1" x14ac:dyDescent="0.3">
      <c r="A763" s="1" t="s">
        <v>846</v>
      </c>
      <c r="B763" s="1" t="s">
        <v>49</v>
      </c>
      <c r="C763" s="1" t="s">
        <v>58</v>
      </c>
      <c r="D763" s="1" t="s">
        <v>28</v>
      </c>
      <c r="E763" s="1" t="s">
        <v>29</v>
      </c>
      <c r="F763">
        <v>64</v>
      </c>
      <c r="G763" t="s">
        <v>22</v>
      </c>
      <c r="H763" s="2">
        <v>33964</v>
      </c>
      <c r="I763">
        <v>104668</v>
      </c>
      <c r="J763">
        <v>0.08</v>
      </c>
      <c r="K763">
        <v>113041.44</v>
      </c>
      <c r="L763" s="1" t="s">
        <v>23</v>
      </c>
      <c r="M763" s="1" t="s">
        <v>74</v>
      </c>
      <c r="N763" s="2"/>
      <c r="O763">
        <v>762</v>
      </c>
      <c r="P763">
        <v>0</v>
      </c>
      <c r="Q763" t="s">
        <v>25</v>
      </c>
      <c r="R763">
        <f ca="1">DATEDIF(EMP_RAW_Data[[#This Row],[Hire Date]],IF(EMP_RAW_Data[[#This Row],[Exit Date]]="",TODAY(),EMP_RAW_Data[[#This Row],[Exit Date]]),"Y")</f>
        <v>33</v>
      </c>
      <c r="S763" t="str">
        <f>IF(EMP_RAW_Data[[#This Row],[Status]]=1,"Inactive","Active")</f>
        <v>Active</v>
      </c>
    </row>
    <row r="764" spans="1:19" hidden="1" x14ac:dyDescent="0.3">
      <c r="A764" s="1" t="s">
        <v>847</v>
      </c>
      <c r="B764" s="1" t="s">
        <v>42</v>
      </c>
      <c r="C764" s="1" t="s">
        <v>46</v>
      </c>
      <c r="D764" s="1" t="s">
        <v>28</v>
      </c>
      <c r="E764" s="1" t="s">
        <v>21</v>
      </c>
      <c r="F764">
        <v>53</v>
      </c>
      <c r="G764" t="s">
        <v>36</v>
      </c>
      <c r="H764" s="2">
        <v>42952</v>
      </c>
      <c r="I764">
        <v>89769</v>
      </c>
      <c r="J764">
        <v>0</v>
      </c>
      <c r="K764">
        <v>89769</v>
      </c>
      <c r="L764" s="1" t="s">
        <v>23</v>
      </c>
      <c r="M764" s="1" t="s">
        <v>24</v>
      </c>
      <c r="N764" s="2"/>
      <c r="O764">
        <v>763</v>
      </c>
      <c r="P764">
        <v>0</v>
      </c>
      <c r="Q764" t="s">
        <v>25</v>
      </c>
      <c r="R764">
        <f ca="1">DATEDIF(EMP_RAW_Data[[#This Row],[Hire Date]],IF(EMP_RAW_Data[[#This Row],[Exit Date]]="",TODAY(),EMP_RAW_Data[[#This Row],[Exit Date]]),"Y")</f>
        <v>8</v>
      </c>
      <c r="S764" t="str">
        <f>IF(EMP_RAW_Data[[#This Row],[Status]]=1,"Inactive","Active")</f>
        <v>Active</v>
      </c>
    </row>
    <row r="765" spans="1:19" hidden="1" x14ac:dyDescent="0.3">
      <c r="A765" s="1" t="s">
        <v>848</v>
      </c>
      <c r="B765" s="1" t="s">
        <v>49</v>
      </c>
      <c r="C765" s="1" t="s">
        <v>46</v>
      </c>
      <c r="D765" s="1" t="s">
        <v>47</v>
      </c>
      <c r="E765" s="1" t="s">
        <v>21</v>
      </c>
      <c r="F765">
        <v>27</v>
      </c>
      <c r="G765" t="s">
        <v>40</v>
      </c>
      <c r="H765" s="2">
        <v>43358</v>
      </c>
      <c r="I765">
        <v>127616</v>
      </c>
      <c r="J765">
        <v>7.0000000000000007E-2</v>
      </c>
      <c r="K765">
        <v>136549.12</v>
      </c>
      <c r="L765" s="1" t="s">
        <v>23</v>
      </c>
      <c r="M765" s="1" t="s">
        <v>74</v>
      </c>
      <c r="N765" s="2"/>
      <c r="O765">
        <v>764</v>
      </c>
      <c r="P765">
        <v>0</v>
      </c>
      <c r="Q765" t="s">
        <v>25</v>
      </c>
      <c r="R765">
        <f ca="1">DATEDIF(EMP_RAW_Data[[#This Row],[Hire Date]],IF(EMP_RAW_Data[[#This Row],[Exit Date]]="",TODAY(),EMP_RAW_Data[[#This Row],[Exit Date]]),"Y")</f>
        <v>7</v>
      </c>
      <c r="S765" t="str">
        <f>IF(EMP_RAW_Data[[#This Row],[Status]]=1,"Inactive","Active")</f>
        <v>Active</v>
      </c>
    </row>
    <row r="766" spans="1:19" hidden="1" x14ac:dyDescent="0.3">
      <c r="A766" s="1" t="s">
        <v>849</v>
      </c>
      <c r="B766" s="1" t="s">
        <v>49</v>
      </c>
      <c r="C766" s="1" t="s">
        <v>58</v>
      </c>
      <c r="D766" s="1" t="s">
        <v>47</v>
      </c>
      <c r="E766" s="1" t="s">
        <v>29</v>
      </c>
      <c r="F766">
        <v>45</v>
      </c>
      <c r="G766" t="s">
        <v>36</v>
      </c>
      <c r="H766" s="2">
        <v>41099</v>
      </c>
      <c r="I766">
        <v>109883</v>
      </c>
      <c r="J766">
        <v>7.0000000000000007E-2</v>
      </c>
      <c r="K766">
        <v>117574.81</v>
      </c>
      <c r="L766" s="1" t="s">
        <v>23</v>
      </c>
      <c r="M766" s="1" t="s">
        <v>74</v>
      </c>
      <c r="N766" s="2"/>
      <c r="O766">
        <v>765</v>
      </c>
      <c r="P766">
        <v>0</v>
      </c>
      <c r="Q766" t="s">
        <v>25</v>
      </c>
      <c r="R766">
        <f ca="1">DATEDIF(EMP_RAW_Data[[#This Row],[Hire Date]],IF(EMP_RAW_Data[[#This Row],[Exit Date]]="",TODAY(),EMP_RAW_Data[[#This Row],[Exit Date]]),"Y")</f>
        <v>13</v>
      </c>
      <c r="S766" t="str">
        <f>IF(EMP_RAW_Data[[#This Row],[Status]]=1,"Inactive","Active")</f>
        <v>Active</v>
      </c>
    </row>
    <row r="767" spans="1:19" hidden="1" x14ac:dyDescent="0.3">
      <c r="A767" s="1" t="s">
        <v>850</v>
      </c>
      <c r="B767" s="1" t="s">
        <v>130</v>
      </c>
      <c r="C767" s="1" t="s">
        <v>58</v>
      </c>
      <c r="D767" s="1" t="s">
        <v>28</v>
      </c>
      <c r="E767" s="1" t="s">
        <v>21</v>
      </c>
      <c r="F767">
        <v>25</v>
      </c>
      <c r="G767" t="s">
        <v>40</v>
      </c>
      <c r="H767" s="2">
        <v>44270</v>
      </c>
      <c r="I767">
        <v>47974</v>
      </c>
      <c r="J767">
        <v>0</v>
      </c>
      <c r="K767">
        <v>47974</v>
      </c>
      <c r="L767" s="1" t="s">
        <v>30</v>
      </c>
      <c r="M767" s="1" t="s">
        <v>31</v>
      </c>
      <c r="N767" s="2"/>
      <c r="O767">
        <v>766</v>
      </c>
      <c r="P767">
        <v>0</v>
      </c>
      <c r="Q767" t="s">
        <v>25</v>
      </c>
      <c r="R767">
        <f ca="1">DATEDIF(EMP_RAW_Data[[#This Row],[Hire Date]],IF(EMP_RAW_Data[[#This Row],[Exit Date]]="",TODAY(),EMP_RAW_Data[[#This Row],[Exit Date]]),"Y")</f>
        <v>5</v>
      </c>
      <c r="S767" t="str">
        <f>IF(EMP_RAW_Data[[#This Row],[Status]]=1,"Inactive","Active")</f>
        <v>Active</v>
      </c>
    </row>
    <row r="768" spans="1:19" hidden="1" x14ac:dyDescent="0.3">
      <c r="A768" s="1" t="s">
        <v>851</v>
      </c>
      <c r="B768" s="1" t="s">
        <v>18</v>
      </c>
      <c r="C768" s="1" t="s">
        <v>19</v>
      </c>
      <c r="D768" s="1" t="s">
        <v>35</v>
      </c>
      <c r="E768" s="1" t="s">
        <v>21</v>
      </c>
      <c r="F768">
        <v>43</v>
      </c>
      <c r="G768" t="s">
        <v>59</v>
      </c>
      <c r="H768" s="2">
        <v>42090</v>
      </c>
      <c r="I768">
        <v>120321</v>
      </c>
      <c r="J768">
        <v>0.12</v>
      </c>
      <c r="K768">
        <v>134759.51999999999</v>
      </c>
      <c r="L768" s="1" t="s">
        <v>23</v>
      </c>
      <c r="M768" s="1" t="s">
        <v>55</v>
      </c>
      <c r="N768" s="2"/>
      <c r="O768">
        <v>767</v>
      </c>
      <c r="P768">
        <v>0</v>
      </c>
      <c r="Q768" t="s">
        <v>25</v>
      </c>
      <c r="R768">
        <f ca="1">DATEDIF(EMP_RAW_Data[[#This Row],[Hire Date]],IF(EMP_RAW_Data[[#This Row],[Exit Date]]="",TODAY(),EMP_RAW_Data[[#This Row],[Exit Date]]),"Y")</f>
        <v>10</v>
      </c>
      <c r="S768" t="str">
        <f>IF(EMP_RAW_Data[[#This Row],[Status]]=1,"Inactive","Active")</f>
        <v>Active</v>
      </c>
    </row>
    <row r="769" spans="1:19" hidden="1" x14ac:dyDescent="0.3">
      <c r="A769" s="1" t="s">
        <v>852</v>
      </c>
      <c r="B769" s="1" t="s">
        <v>93</v>
      </c>
      <c r="C769" s="1" t="s">
        <v>19</v>
      </c>
      <c r="D769" s="1" t="s">
        <v>28</v>
      </c>
      <c r="E769" s="1" t="s">
        <v>21</v>
      </c>
      <c r="F769">
        <v>61</v>
      </c>
      <c r="G769" t="s">
        <v>22</v>
      </c>
      <c r="H769" s="2">
        <v>41861</v>
      </c>
      <c r="I769">
        <v>57446</v>
      </c>
      <c r="J769">
        <v>0</v>
      </c>
      <c r="K769">
        <v>57446</v>
      </c>
      <c r="L769" s="1" t="s">
        <v>23</v>
      </c>
      <c r="M769" s="1" t="s">
        <v>43</v>
      </c>
      <c r="N769" s="2"/>
      <c r="O769">
        <v>768</v>
      </c>
      <c r="P769">
        <v>0</v>
      </c>
      <c r="Q769" t="s">
        <v>25</v>
      </c>
      <c r="R769">
        <f ca="1">DATEDIF(EMP_RAW_Data[[#This Row],[Hire Date]],IF(EMP_RAW_Data[[#This Row],[Exit Date]]="",TODAY(),EMP_RAW_Data[[#This Row],[Exit Date]]),"Y")</f>
        <v>11</v>
      </c>
      <c r="S769" t="str">
        <f>IF(EMP_RAW_Data[[#This Row],[Status]]=1,"Inactive","Active")</f>
        <v>Active</v>
      </c>
    </row>
    <row r="770" spans="1:19" hidden="1" x14ac:dyDescent="0.3">
      <c r="A770" s="1" t="s">
        <v>853</v>
      </c>
      <c r="B770" s="1" t="s">
        <v>33</v>
      </c>
      <c r="C770" s="1" t="s">
        <v>54</v>
      </c>
      <c r="D770" s="1" t="s">
        <v>20</v>
      </c>
      <c r="E770" s="1" t="s">
        <v>21</v>
      </c>
      <c r="F770">
        <v>42</v>
      </c>
      <c r="G770" t="s">
        <v>59</v>
      </c>
      <c r="H770" s="2">
        <v>39968</v>
      </c>
      <c r="I770">
        <v>174099</v>
      </c>
      <c r="J770">
        <v>0.26</v>
      </c>
      <c r="K770">
        <v>219364.74</v>
      </c>
      <c r="L770" s="1" t="s">
        <v>23</v>
      </c>
      <c r="M770" s="1" t="s">
        <v>55</v>
      </c>
      <c r="N770" s="2"/>
      <c r="O770">
        <v>769</v>
      </c>
      <c r="P770">
        <v>0</v>
      </c>
      <c r="Q770" t="s">
        <v>25</v>
      </c>
      <c r="R770">
        <f ca="1">DATEDIF(EMP_RAW_Data[[#This Row],[Hire Date]],IF(EMP_RAW_Data[[#This Row],[Exit Date]]="",TODAY(),EMP_RAW_Data[[#This Row],[Exit Date]]),"Y")</f>
        <v>16</v>
      </c>
      <c r="S770" t="str">
        <f>IF(EMP_RAW_Data[[#This Row],[Status]]=1,"Inactive","Active")</f>
        <v>Active</v>
      </c>
    </row>
    <row r="771" spans="1:19" hidden="1" x14ac:dyDescent="0.3">
      <c r="A771" s="1" t="s">
        <v>854</v>
      </c>
      <c r="B771" s="1" t="s">
        <v>18</v>
      </c>
      <c r="C771" s="1" t="s">
        <v>34</v>
      </c>
      <c r="D771" s="1" t="s">
        <v>28</v>
      </c>
      <c r="E771" s="1" t="s">
        <v>29</v>
      </c>
      <c r="F771">
        <v>63</v>
      </c>
      <c r="G771" t="s">
        <v>22</v>
      </c>
      <c r="H771" s="2">
        <v>37295</v>
      </c>
      <c r="I771">
        <v>128703</v>
      </c>
      <c r="J771">
        <v>0.13</v>
      </c>
      <c r="K771">
        <v>145434.39000000001</v>
      </c>
      <c r="L771" s="1" t="s">
        <v>23</v>
      </c>
      <c r="M771" s="1" t="s">
        <v>55</v>
      </c>
      <c r="N771" s="2"/>
      <c r="O771">
        <v>770</v>
      </c>
      <c r="P771">
        <v>0</v>
      </c>
      <c r="Q771" t="s">
        <v>25</v>
      </c>
      <c r="R771">
        <f ca="1">DATEDIF(EMP_RAW_Data[[#This Row],[Hire Date]],IF(EMP_RAW_Data[[#This Row],[Exit Date]]="",TODAY(),EMP_RAW_Data[[#This Row],[Exit Date]]),"Y")</f>
        <v>24</v>
      </c>
      <c r="S771" t="str">
        <f>IF(EMP_RAW_Data[[#This Row],[Status]]=1,"Inactive","Active")</f>
        <v>Active</v>
      </c>
    </row>
    <row r="772" spans="1:19" hidden="1" x14ac:dyDescent="0.3">
      <c r="A772" s="1" t="s">
        <v>855</v>
      </c>
      <c r="B772" s="1" t="s">
        <v>124</v>
      </c>
      <c r="C772" s="1" t="s">
        <v>62</v>
      </c>
      <c r="D772" s="1" t="s">
        <v>47</v>
      </c>
      <c r="E772" s="1" t="s">
        <v>21</v>
      </c>
      <c r="F772">
        <v>32</v>
      </c>
      <c r="G772" t="s">
        <v>40</v>
      </c>
      <c r="H772" s="2">
        <v>42317</v>
      </c>
      <c r="I772">
        <v>65247</v>
      </c>
      <c r="J772">
        <v>0</v>
      </c>
      <c r="K772">
        <v>65247</v>
      </c>
      <c r="L772" s="1" t="s">
        <v>23</v>
      </c>
      <c r="M772" s="1" t="s">
        <v>43</v>
      </c>
      <c r="N772" s="2"/>
      <c r="O772">
        <v>771</v>
      </c>
      <c r="P772">
        <v>0</v>
      </c>
      <c r="Q772" t="s">
        <v>25</v>
      </c>
      <c r="R772">
        <f ca="1">DATEDIF(EMP_RAW_Data[[#This Row],[Hire Date]],IF(EMP_RAW_Data[[#This Row],[Exit Date]]="",TODAY(),EMP_RAW_Data[[#This Row],[Exit Date]]),"Y")</f>
        <v>10</v>
      </c>
      <c r="S772" t="str">
        <f>IF(EMP_RAW_Data[[#This Row],[Status]]=1,"Inactive","Active")</f>
        <v>Active</v>
      </c>
    </row>
    <row r="773" spans="1:19" hidden="1" x14ac:dyDescent="0.3">
      <c r="A773" s="1" t="s">
        <v>856</v>
      </c>
      <c r="B773" s="1" t="s">
        <v>86</v>
      </c>
      <c r="C773" s="1" t="s">
        <v>62</v>
      </c>
      <c r="D773" s="1" t="s">
        <v>20</v>
      </c>
      <c r="E773" s="1" t="s">
        <v>29</v>
      </c>
      <c r="F773">
        <v>27</v>
      </c>
      <c r="G773" t="s">
        <v>40</v>
      </c>
      <c r="H773" s="2">
        <v>43371</v>
      </c>
      <c r="I773">
        <v>64247</v>
      </c>
      <c r="J773">
        <v>0</v>
      </c>
      <c r="K773">
        <v>64247</v>
      </c>
      <c r="L773" s="1" t="s">
        <v>77</v>
      </c>
      <c r="M773" s="1" t="s">
        <v>81</v>
      </c>
      <c r="N773" s="2"/>
      <c r="O773">
        <v>772</v>
      </c>
      <c r="P773">
        <v>0</v>
      </c>
      <c r="Q773" t="s">
        <v>25</v>
      </c>
      <c r="R773">
        <f ca="1">DATEDIF(EMP_RAW_Data[[#This Row],[Hire Date]],IF(EMP_RAW_Data[[#This Row],[Exit Date]]="",TODAY(),EMP_RAW_Data[[#This Row],[Exit Date]]),"Y")</f>
        <v>7</v>
      </c>
      <c r="S773" t="str">
        <f>IF(EMP_RAW_Data[[#This Row],[Status]]=1,"Inactive","Active")</f>
        <v>Active</v>
      </c>
    </row>
    <row r="774" spans="1:19" hidden="1" x14ac:dyDescent="0.3">
      <c r="A774" s="1" t="s">
        <v>857</v>
      </c>
      <c r="B774" s="1" t="s">
        <v>49</v>
      </c>
      <c r="C774" s="1" t="s">
        <v>58</v>
      </c>
      <c r="D774" s="1" t="s">
        <v>20</v>
      </c>
      <c r="E774" s="1" t="s">
        <v>21</v>
      </c>
      <c r="F774">
        <v>33</v>
      </c>
      <c r="G774" t="s">
        <v>40</v>
      </c>
      <c r="H774" s="2">
        <v>41071</v>
      </c>
      <c r="I774">
        <v>118253</v>
      </c>
      <c r="J774">
        <v>0.08</v>
      </c>
      <c r="K774">
        <v>127713.24</v>
      </c>
      <c r="L774" s="1" t="s">
        <v>23</v>
      </c>
      <c r="M774" s="1" t="s">
        <v>55</v>
      </c>
      <c r="N774" s="2"/>
      <c r="O774">
        <v>773</v>
      </c>
      <c r="P774">
        <v>0</v>
      </c>
      <c r="Q774" t="s">
        <v>25</v>
      </c>
      <c r="R774">
        <f ca="1">DATEDIF(EMP_RAW_Data[[#This Row],[Hire Date]],IF(EMP_RAW_Data[[#This Row],[Exit Date]]="",TODAY(),EMP_RAW_Data[[#This Row],[Exit Date]]),"Y")</f>
        <v>13</v>
      </c>
      <c r="S774" t="str">
        <f>IF(EMP_RAW_Data[[#This Row],[Status]]=1,"Inactive","Active")</f>
        <v>Active</v>
      </c>
    </row>
    <row r="775" spans="1:19" hidden="1" x14ac:dyDescent="0.3">
      <c r="A775" s="1" t="s">
        <v>858</v>
      </c>
      <c r="B775" s="1" t="s">
        <v>128</v>
      </c>
      <c r="C775" s="1" t="s">
        <v>62</v>
      </c>
      <c r="D775" s="1" t="s">
        <v>28</v>
      </c>
      <c r="E775" s="1" t="s">
        <v>21</v>
      </c>
      <c r="F775">
        <v>45</v>
      </c>
      <c r="G775" t="s">
        <v>36</v>
      </c>
      <c r="H775" s="2">
        <v>38057</v>
      </c>
      <c r="I775">
        <v>109422</v>
      </c>
      <c r="J775">
        <v>0</v>
      </c>
      <c r="K775">
        <v>109422</v>
      </c>
      <c r="L775" s="1" t="s">
        <v>30</v>
      </c>
      <c r="M775" s="1" t="s">
        <v>31</v>
      </c>
      <c r="N775" s="2"/>
      <c r="O775">
        <v>774</v>
      </c>
      <c r="P775">
        <v>0</v>
      </c>
      <c r="Q775" t="s">
        <v>25</v>
      </c>
      <c r="R775">
        <f ca="1">DATEDIF(EMP_RAW_Data[[#This Row],[Hire Date]],IF(EMP_RAW_Data[[#This Row],[Exit Date]]="",TODAY(),EMP_RAW_Data[[#This Row],[Exit Date]]),"Y")</f>
        <v>22</v>
      </c>
      <c r="S775" t="str">
        <f>IF(EMP_RAW_Data[[#This Row],[Status]]=1,"Inactive","Active")</f>
        <v>Active</v>
      </c>
    </row>
    <row r="776" spans="1:19" hidden="1" x14ac:dyDescent="0.3">
      <c r="A776" s="1" t="s">
        <v>859</v>
      </c>
      <c r="B776" s="1" t="s">
        <v>49</v>
      </c>
      <c r="C776" s="1" t="s">
        <v>58</v>
      </c>
      <c r="D776" s="1" t="s">
        <v>47</v>
      </c>
      <c r="E776" s="1" t="s">
        <v>29</v>
      </c>
      <c r="F776">
        <v>41</v>
      </c>
      <c r="G776" t="s">
        <v>59</v>
      </c>
      <c r="H776" s="2">
        <v>43502</v>
      </c>
      <c r="I776">
        <v>126950</v>
      </c>
      <c r="J776">
        <v>0.1</v>
      </c>
      <c r="K776">
        <v>139645</v>
      </c>
      <c r="L776" s="1" t="s">
        <v>23</v>
      </c>
      <c r="M776" s="1" t="s">
        <v>37</v>
      </c>
      <c r="N776" s="2"/>
      <c r="O776">
        <v>775</v>
      </c>
      <c r="P776">
        <v>0</v>
      </c>
      <c r="Q776" t="s">
        <v>25</v>
      </c>
      <c r="R776">
        <f ca="1">DATEDIF(EMP_RAW_Data[[#This Row],[Hire Date]],IF(EMP_RAW_Data[[#This Row],[Exit Date]]="",TODAY(),EMP_RAW_Data[[#This Row],[Exit Date]]),"Y")</f>
        <v>7</v>
      </c>
      <c r="S776" t="str">
        <f>IF(EMP_RAW_Data[[#This Row],[Status]]=1,"Inactive","Active")</f>
        <v>Active</v>
      </c>
    </row>
    <row r="777" spans="1:19" hidden="1" x14ac:dyDescent="0.3">
      <c r="A777" s="1" t="s">
        <v>860</v>
      </c>
      <c r="B777" s="1" t="s">
        <v>100</v>
      </c>
      <c r="C777" s="1" t="s">
        <v>19</v>
      </c>
      <c r="D777" s="1" t="s">
        <v>28</v>
      </c>
      <c r="E777" s="1" t="s">
        <v>21</v>
      </c>
      <c r="F777">
        <v>36</v>
      </c>
      <c r="G777" t="s">
        <v>59</v>
      </c>
      <c r="H777" s="2">
        <v>41964</v>
      </c>
      <c r="I777">
        <v>97500</v>
      </c>
      <c r="J777">
        <v>0</v>
      </c>
      <c r="K777">
        <v>97500</v>
      </c>
      <c r="L777" s="1" t="s">
        <v>23</v>
      </c>
      <c r="M777" s="1" t="s">
        <v>52</v>
      </c>
      <c r="N777" s="2"/>
      <c r="O777">
        <v>776</v>
      </c>
      <c r="P777">
        <v>0</v>
      </c>
      <c r="Q777" t="s">
        <v>25</v>
      </c>
      <c r="R777">
        <f ca="1">DATEDIF(EMP_RAW_Data[[#This Row],[Hire Date]],IF(EMP_RAW_Data[[#This Row],[Exit Date]]="",TODAY(),EMP_RAW_Data[[#This Row],[Exit Date]]),"Y")</f>
        <v>11</v>
      </c>
      <c r="S777" t="str">
        <f>IF(EMP_RAW_Data[[#This Row],[Status]]=1,"Inactive","Active")</f>
        <v>Active</v>
      </c>
    </row>
    <row r="778" spans="1:19" hidden="1" x14ac:dyDescent="0.3">
      <c r="A778" s="1" t="s">
        <v>861</v>
      </c>
      <c r="B778" s="1" t="s">
        <v>93</v>
      </c>
      <c r="C778" s="1" t="s">
        <v>19</v>
      </c>
      <c r="D778" s="1" t="s">
        <v>28</v>
      </c>
      <c r="E778" s="1" t="s">
        <v>29</v>
      </c>
      <c r="F778">
        <v>25</v>
      </c>
      <c r="G778" t="s">
        <v>40</v>
      </c>
      <c r="H778" s="2">
        <v>44213</v>
      </c>
      <c r="I778">
        <v>41844</v>
      </c>
      <c r="J778">
        <v>0</v>
      </c>
      <c r="K778">
        <v>41844</v>
      </c>
      <c r="L778" s="1" t="s">
        <v>30</v>
      </c>
      <c r="M778" s="1" t="s">
        <v>31</v>
      </c>
      <c r="N778" s="2"/>
      <c r="O778">
        <v>777</v>
      </c>
      <c r="P778">
        <v>0</v>
      </c>
      <c r="Q778" t="s">
        <v>25</v>
      </c>
      <c r="R778">
        <f ca="1">DATEDIF(EMP_RAW_Data[[#This Row],[Hire Date]],IF(EMP_RAW_Data[[#This Row],[Exit Date]]="",TODAY(),EMP_RAW_Data[[#This Row],[Exit Date]]),"Y")</f>
        <v>5</v>
      </c>
      <c r="S778" t="str">
        <f>IF(EMP_RAW_Data[[#This Row],[Status]]=1,"Inactive","Active")</f>
        <v>Active</v>
      </c>
    </row>
    <row r="779" spans="1:19" hidden="1" x14ac:dyDescent="0.3">
      <c r="A779" s="1" t="s">
        <v>862</v>
      </c>
      <c r="B779" s="1" t="s">
        <v>96</v>
      </c>
      <c r="C779" s="1" t="s">
        <v>54</v>
      </c>
      <c r="D779" s="1" t="s">
        <v>20</v>
      </c>
      <c r="E779" s="1" t="s">
        <v>29</v>
      </c>
      <c r="F779">
        <v>43</v>
      </c>
      <c r="G779" t="s">
        <v>59</v>
      </c>
      <c r="H779" s="2">
        <v>41680</v>
      </c>
      <c r="I779">
        <v>58875</v>
      </c>
      <c r="J779">
        <v>0</v>
      </c>
      <c r="K779">
        <v>58875</v>
      </c>
      <c r="L779" s="1" t="s">
        <v>30</v>
      </c>
      <c r="M779" s="1" t="s">
        <v>102</v>
      </c>
      <c r="N779" s="2"/>
      <c r="O779">
        <v>778</v>
      </c>
      <c r="P779">
        <v>0</v>
      </c>
      <c r="Q779" t="s">
        <v>25</v>
      </c>
      <c r="R779">
        <f ca="1">DATEDIF(EMP_RAW_Data[[#This Row],[Hire Date]],IF(EMP_RAW_Data[[#This Row],[Exit Date]]="",TODAY(),EMP_RAW_Data[[#This Row],[Exit Date]]),"Y")</f>
        <v>12</v>
      </c>
      <c r="S779" t="str">
        <f>IF(EMP_RAW_Data[[#This Row],[Status]]=1,"Inactive","Active")</f>
        <v>Active</v>
      </c>
    </row>
    <row r="780" spans="1:19" x14ac:dyDescent="0.3">
      <c r="A780" s="1" t="s">
        <v>863</v>
      </c>
      <c r="B780" s="1" t="s">
        <v>45</v>
      </c>
      <c r="C780" s="1" t="s">
        <v>46</v>
      </c>
      <c r="D780" s="1" t="s">
        <v>28</v>
      </c>
      <c r="E780" s="1" t="s">
        <v>21</v>
      </c>
      <c r="F780">
        <v>37</v>
      </c>
      <c r="G780" t="s">
        <v>59</v>
      </c>
      <c r="H780" s="2">
        <v>42318</v>
      </c>
      <c r="I780">
        <v>64204</v>
      </c>
      <c r="J780">
        <v>0</v>
      </c>
      <c r="K780">
        <v>64204</v>
      </c>
      <c r="L780" s="1" t="s">
        <v>23</v>
      </c>
      <c r="M780" s="1" t="s">
        <v>74</v>
      </c>
      <c r="N780" s="2">
        <v>44306</v>
      </c>
      <c r="O780">
        <v>779</v>
      </c>
      <c r="P780">
        <v>1</v>
      </c>
      <c r="Q780" t="s">
        <v>25</v>
      </c>
      <c r="R780">
        <f ca="1">DATEDIF(EMP_RAW_Data[[#This Row],[Hire Date]],IF(EMP_RAW_Data[[#This Row],[Exit Date]]="",TODAY(),EMP_RAW_Data[[#This Row],[Exit Date]]),"Y")</f>
        <v>5</v>
      </c>
      <c r="S780" t="str">
        <f>IF(EMP_RAW_Data[[#This Row],[Status]]=1,"Inactive","Active")</f>
        <v>Inactive</v>
      </c>
    </row>
    <row r="781" spans="1:19" x14ac:dyDescent="0.3">
      <c r="A781" s="1" t="s">
        <v>864</v>
      </c>
      <c r="B781" s="1" t="s">
        <v>96</v>
      </c>
      <c r="C781" s="1" t="s">
        <v>46</v>
      </c>
      <c r="D781" s="1" t="s">
        <v>47</v>
      </c>
      <c r="E781" s="1" t="s">
        <v>21</v>
      </c>
      <c r="F781">
        <v>42</v>
      </c>
      <c r="G781" t="s">
        <v>59</v>
      </c>
      <c r="H781" s="2">
        <v>40307</v>
      </c>
      <c r="I781">
        <v>67743</v>
      </c>
      <c r="J781">
        <v>0</v>
      </c>
      <c r="K781">
        <v>67743</v>
      </c>
      <c r="L781" s="1" t="s">
        <v>30</v>
      </c>
      <c r="M781" s="1" t="s">
        <v>90</v>
      </c>
      <c r="N781" s="2">
        <v>41998</v>
      </c>
      <c r="O781">
        <v>780</v>
      </c>
      <c r="P781">
        <v>1</v>
      </c>
      <c r="Q781" t="s">
        <v>25</v>
      </c>
      <c r="R781">
        <f ca="1">DATEDIF(EMP_RAW_Data[[#This Row],[Hire Date]],IF(EMP_RAW_Data[[#This Row],[Exit Date]]="",TODAY(),EMP_RAW_Data[[#This Row],[Exit Date]]),"Y")</f>
        <v>4</v>
      </c>
      <c r="S781" t="str">
        <f>IF(EMP_RAW_Data[[#This Row],[Status]]=1,"Inactive","Active")</f>
        <v>Inactive</v>
      </c>
    </row>
    <row r="782" spans="1:19" hidden="1" x14ac:dyDescent="0.3">
      <c r="A782" s="1" t="s">
        <v>865</v>
      </c>
      <c r="B782" s="1" t="s">
        <v>189</v>
      </c>
      <c r="C782" s="1" t="s">
        <v>46</v>
      </c>
      <c r="D782" s="1" t="s">
        <v>35</v>
      </c>
      <c r="E782" s="1" t="s">
        <v>21</v>
      </c>
      <c r="F782">
        <v>60</v>
      </c>
      <c r="G782" t="s">
        <v>22</v>
      </c>
      <c r="H782" s="2">
        <v>35641</v>
      </c>
      <c r="I782">
        <v>71677</v>
      </c>
      <c r="J782">
        <v>0</v>
      </c>
      <c r="K782">
        <v>71677</v>
      </c>
      <c r="L782" s="1" t="s">
        <v>23</v>
      </c>
      <c r="M782" s="1" t="s">
        <v>74</v>
      </c>
      <c r="N782" s="2"/>
      <c r="O782">
        <v>781</v>
      </c>
      <c r="P782">
        <v>0</v>
      </c>
      <c r="Q782" t="s">
        <v>25</v>
      </c>
      <c r="R782">
        <f ca="1">DATEDIF(EMP_RAW_Data[[#This Row],[Hire Date]],IF(EMP_RAW_Data[[#This Row],[Exit Date]]="",TODAY(),EMP_RAW_Data[[#This Row],[Exit Date]]),"Y")</f>
        <v>28</v>
      </c>
      <c r="S782" t="str">
        <f>IF(EMP_RAW_Data[[#This Row],[Status]]=1,"Inactive","Active")</f>
        <v>Active</v>
      </c>
    </row>
    <row r="783" spans="1:19" hidden="1" x14ac:dyDescent="0.3">
      <c r="A783" s="1" t="s">
        <v>866</v>
      </c>
      <c r="B783" s="1" t="s">
        <v>93</v>
      </c>
      <c r="C783" s="1" t="s">
        <v>19</v>
      </c>
      <c r="D783" s="1" t="s">
        <v>35</v>
      </c>
      <c r="E783" s="1" t="s">
        <v>29</v>
      </c>
      <c r="F783">
        <v>61</v>
      </c>
      <c r="G783" t="s">
        <v>22</v>
      </c>
      <c r="H783" s="2">
        <v>36793</v>
      </c>
      <c r="I783">
        <v>40063</v>
      </c>
      <c r="J783">
        <v>0</v>
      </c>
      <c r="K783">
        <v>40063</v>
      </c>
      <c r="L783" s="1" t="s">
        <v>23</v>
      </c>
      <c r="M783" s="1" t="s">
        <v>52</v>
      </c>
      <c r="N783" s="2"/>
      <c r="O783">
        <v>782</v>
      </c>
      <c r="P783">
        <v>0</v>
      </c>
      <c r="Q783" t="s">
        <v>25</v>
      </c>
      <c r="R783">
        <f ca="1">DATEDIF(EMP_RAW_Data[[#This Row],[Hire Date]],IF(EMP_RAW_Data[[#This Row],[Exit Date]]="",TODAY(),EMP_RAW_Data[[#This Row],[Exit Date]]),"Y")</f>
        <v>25</v>
      </c>
      <c r="S783" t="str">
        <f>IF(EMP_RAW_Data[[#This Row],[Status]]=1,"Inactive","Active")</f>
        <v>Active</v>
      </c>
    </row>
    <row r="784" spans="1:19" hidden="1" x14ac:dyDescent="0.3">
      <c r="A784" s="1" t="s">
        <v>867</v>
      </c>
      <c r="B784" s="1" t="s">
        <v>93</v>
      </c>
      <c r="C784" s="1" t="s">
        <v>19</v>
      </c>
      <c r="D784" s="1" t="s">
        <v>28</v>
      </c>
      <c r="E784" s="1" t="s">
        <v>21</v>
      </c>
      <c r="F784">
        <v>55</v>
      </c>
      <c r="G784" t="s">
        <v>22</v>
      </c>
      <c r="H784" s="2">
        <v>38107</v>
      </c>
      <c r="I784">
        <v>40124</v>
      </c>
      <c r="J784">
        <v>0</v>
      </c>
      <c r="K784">
        <v>40124</v>
      </c>
      <c r="L784" s="1" t="s">
        <v>23</v>
      </c>
      <c r="M784" s="1" t="s">
        <v>55</v>
      </c>
      <c r="N784" s="2"/>
      <c r="O784">
        <v>783</v>
      </c>
      <c r="P784">
        <v>0</v>
      </c>
      <c r="Q784" t="s">
        <v>25</v>
      </c>
      <c r="R784">
        <f ca="1">DATEDIF(EMP_RAW_Data[[#This Row],[Hire Date]],IF(EMP_RAW_Data[[#This Row],[Exit Date]]="",TODAY(),EMP_RAW_Data[[#This Row],[Exit Date]]),"Y")</f>
        <v>21</v>
      </c>
      <c r="S784" t="str">
        <f>IF(EMP_RAW_Data[[#This Row],[Status]]=1,"Inactive","Active")</f>
        <v>Active</v>
      </c>
    </row>
    <row r="785" spans="1:19" x14ac:dyDescent="0.3">
      <c r="A785" s="1" t="s">
        <v>868</v>
      </c>
      <c r="B785" s="1" t="s">
        <v>126</v>
      </c>
      <c r="C785" s="1" t="s">
        <v>62</v>
      </c>
      <c r="D785" s="1" t="s">
        <v>28</v>
      </c>
      <c r="E785" s="1" t="s">
        <v>29</v>
      </c>
      <c r="F785">
        <v>57</v>
      </c>
      <c r="G785" t="s">
        <v>22</v>
      </c>
      <c r="H785" s="2">
        <v>43157</v>
      </c>
      <c r="I785">
        <v>103183</v>
      </c>
      <c r="J785">
        <v>0</v>
      </c>
      <c r="K785">
        <v>103183</v>
      </c>
      <c r="L785" s="1" t="s">
        <v>23</v>
      </c>
      <c r="M785" s="1" t="s">
        <v>55</v>
      </c>
      <c r="N785" s="2">
        <v>44386</v>
      </c>
      <c r="O785">
        <v>784</v>
      </c>
      <c r="P785">
        <v>1</v>
      </c>
      <c r="Q785" t="s">
        <v>25</v>
      </c>
      <c r="R785">
        <f ca="1">DATEDIF(EMP_RAW_Data[[#This Row],[Hire Date]],IF(EMP_RAW_Data[[#This Row],[Exit Date]]="",TODAY(),EMP_RAW_Data[[#This Row],[Exit Date]]),"Y")</f>
        <v>3</v>
      </c>
      <c r="S785" t="str">
        <f>IF(EMP_RAW_Data[[#This Row],[Status]]=1,"Inactive","Active")</f>
        <v>Inactive</v>
      </c>
    </row>
    <row r="786" spans="1:19" hidden="1" x14ac:dyDescent="0.3">
      <c r="A786" s="1" t="s">
        <v>869</v>
      </c>
      <c r="B786" s="1" t="s">
        <v>192</v>
      </c>
      <c r="C786" s="1" t="s">
        <v>19</v>
      </c>
      <c r="D786" s="1" t="s">
        <v>47</v>
      </c>
      <c r="E786" s="1" t="s">
        <v>29</v>
      </c>
      <c r="F786">
        <v>54</v>
      </c>
      <c r="G786" t="s">
        <v>36</v>
      </c>
      <c r="H786" s="2">
        <v>35961</v>
      </c>
      <c r="I786">
        <v>95239</v>
      </c>
      <c r="J786">
        <v>0</v>
      </c>
      <c r="K786">
        <v>95239</v>
      </c>
      <c r="L786" s="1" t="s">
        <v>23</v>
      </c>
      <c r="M786" s="1" t="s">
        <v>43</v>
      </c>
      <c r="N786" s="2"/>
      <c r="O786">
        <v>785</v>
      </c>
      <c r="P786">
        <v>0</v>
      </c>
      <c r="Q786" t="s">
        <v>25</v>
      </c>
      <c r="R786">
        <f ca="1">DATEDIF(EMP_RAW_Data[[#This Row],[Hire Date]],IF(EMP_RAW_Data[[#This Row],[Exit Date]]="",TODAY(),EMP_RAW_Data[[#This Row],[Exit Date]]),"Y")</f>
        <v>27</v>
      </c>
      <c r="S786" t="str">
        <f>IF(EMP_RAW_Data[[#This Row],[Status]]=1,"Inactive","Active")</f>
        <v>Active</v>
      </c>
    </row>
    <row r="787" spans="1:19" hidden="1" x14ac:dyDescent="0.3">
      <c r="A787" s="1" t="s">
        <v>870</v>
      </c>
      <c r="B787" s="1" t="s">
        <v>180</v>
      </c>
      <c r="C787" s="1" t="s">
        <v>62</v>
      </c>
      <c r="D787" s="1" t="s">
        <v>28</v>
      </c>
      <c r="E787" s="1" t="s">
        <v>21</v>
      </c>
      <c r="F787">
        <v>29</v>
      </c>
      <c r="G787" t="s">
        <v>40</v>
      </c>
      <c r="H787" s="2">
        <v>43778</v>
      </c>
      <c r="I787">
        <v>75012</v>
      </c>
      <c r="J787">
        <v>0</v>
      </c>
      <c r="K787">
        <v>75012</v>
      </c>
      <c r="L787" s="1" t="s">
        <v>23</v>
      </c>
      <c r="M787" s="1" t="s">
        <v>37</v>
      </c>
      <c r="N787" s="2"/>
      <c r="O787">
        <v>786</v>
      </c>
      <c r="P787">
        <v>0</v>
      </c>
      <c r="Q787" t="s">
        <v>25</v>
      </c>
      <c r="R787">
        <f ca="1">DATEDIF(EMP_RAW_Data[[#This Row],[Hire Date]],IF(EMP_RAW_Data[[#This Row],[Exit Date]]="",TODAY(),EMP_RAW_Data[[#This Row],[Exit Date]]),"Y")</f>
        <v>6</v>
      </c>
      <c r="S787" t="str">
        <f>IF(EMP_RAW_Data[[#This Row],[Status]]=1,"Inactive","Active")</f>
        <v>Active</v>
      </c>
    </row>
    <row r="788" spans="1:19" hidden="1" x14ac:dyDescent="0.3">
      <c r="A788" s="1" t="s">
        <v>871</v>
      </c>
      <c r="B788" s="1" t="s">
        <v>164</v>
      </c>
      <c r="C788" s="1" t="s">
        <v>19</v>
      </c>
      <c r="D788" s="1" t="s">
        <v>28</v>
      </c>
      <c r="E788" s="1" t="s">
        <v>21</v>
      </c>
      <c r="F788">
        <v>33</v>
      </c>
      <c r="G788" t="s">
        <v>40</v>
      </c>
      <c r="H788" s="2">
        <v>41819</v>
      </c>
      <c r="I788">
        <v>96366</v>
      </c>
      <c r="J788">
        <v>0</v>
      </c>
      <c r="K788">
        <v>96366</v>
      </c>
      <c r="L788" s="1" t="s">
        <v>30</v>
      </c>
      <c r="M788" s="1" t="s">
        <v>102</v>
      </c>
      <c r="N788" s="2"/>
      <c r="O788">
        <v>787</v>
      </c>
      <c r="P788">
        <v>0</v>
      </c>
      <c r="Q788" t="s">
        <v>25</v>
      </c>
      <c r="R788">
        <f ca="1">DATEDIF(EMP_RAW_Data[[#This Row],[Hire Date]],IF(EMP_RAW_Data[[#This Row],[Exit Date]]="",TODAY(),EMP_RAW_Data[[#This Row],[Exit Date]]),"Y")</f>
        <v>11</v>
      </c>
      <c r="S788" t="str">
        <f>IF(EMP_RAW_Data[[#This Row],[Status]]=1,"Inactive","Active")</f>
        <v>Active</v>
      </c>
    </row>
    <row r="789" spans="1:19" hidden="1" x14ac:dyDescent="0.3">
      <c r="A789" s="1" t="s">
        <v>872</v>
      </c>
      <c r="B789" s="1" t="s">
        <v>51</v>
      </c>
      <c r="C789" s="1" t="s">
        <v>69</v>
      </c>
      <c r="D789" s="1" t="s">
        <v>47</v>
      </c>
      <c r="E789" s="1" t="s">
        <v>21</v>
      </c>
      <c r="F789">
        <v>39</v>
      </c>
      <c r="G789" t="s">
        <v>59</v>
      </c>
      <c r="H789" s="2">
        <v>41849</v>
      </c>
      <c r="I789">
        <v>40897</v>
      </c>
      <c r="J789">
        <v>0</v>
      </c>
      <c r="K789">
        <v>40897</v>
      </c>
      <c r="L789" s="1" t="s">
        <v>23</v>
      </c>
      <c r="M789" s="1" t="s">
        <v>24</v>
      </c>
      <c r="N789" s="2"/>
      <c r="O789">
        <v>788</v>
      </c>
      <c r="P789">
        <v>0</v>
      </c>
      <c r="Q789" t="s">
        <v>25</v>
      </c>
      <c r="R789">
        <f ca="1">DATEDIF(EMP_RAW_Data[[#This Row],[Hire Date]],IF(EMP_RAW_Data[[#This Row],[Exit Date]]="",TODAY(),EMP_RAW_Data[[#This Row],[Exit Date]]),"Y")</f>
        <v>11</v>
      </c>
      <c r="S789" t="str">
        <f>IF(EMP_RAW_Data[[#This Row],[Status]]=1,"Inactive","Active")</f>
        <v>Active</v>
      </c>
    </row>
    <row r="790" spans="1:19" hidden="1" x14ac:dyDescent="0.3">
      <c r="A790" s="1" t="s">
        <v>873</v>
      </c>
      <c r="B790" s="1" t="s">
        <v>49</v>
      </c>
      <c r="C790" s="1" t="s">
        <v>34</v>
      </c>
      <c r="D790" s="1" t="s">
        <v>20</v>
      </c>
      <c r="E790" s="1" t="s">
        <v>21</v>
      </c>
      <c r="F790">
        <v>37</v>
      </c>
      <c r="G790" t="s">
        <v>59</v>
      </c>
      <c r="H790" s="2">
        <v>42605</v>
      </c>
      <c r="I790">
        <v>124928</v>
      </c>
      <c r="J790">
        <v>0.06</v>
      </c>
      <c r="K790">
        <v>132423.67999999999</v>
      </c>
      <c r="L790" s="1" t="s">
        <v>30</v>
      </c>
      <c r="M790" s="1" t="s">
        <v>31</v>
      </c>
      <c r="N790" s="2"/>
      <c r="O790">
        <v>789</v>
      </c>
      <c r="P790">
        <v>0</v>
      </c>
      <c r="Q790" t="s">
        <v>25</v>
      </c>
      <c r="R790">
        <f ca="1">DATEDIF(EMP_RAW_Data[[#This Row],[Hire Date]],IF(EMP_RAW_Data[[#This Row],[Exit Date]]="",TODAY(),EMP_RAW_Data[[#This Row],[Exit Date]]),"Y")</f>
        <v>9</v>
      </c>
      <c r="S790" t="str">
        <f>IF(EMP_RAW_Data[[#This Row],[Status]]=1,"Inactive","Active")</f>
        <v>Active</v>
      </c>
    </row>
    <row r="791" spans="1:19" hidden="1" x14ac:dyDescent="0.3">
      <c r="A791" s="1" t="s">
        <v>874</v>
      </c>
      <c r="B791" s="1" t="s">
        <v>49</v>
      </c>
      <c r="C791" s="1" t="s">
        <v>34</v>
      </c>
      <c r="D791" s="1" t="s">
        <v>35</v>
      </c>
      <c r="E791" s="1" t="s">
        <v>21</v>
      </c>
      <c r="F791">
        <v>51</v>
      </c>
      <c r="G791" t="s">
        <v>36</v>
      </c>
      <c r="H791" s="2">
        <v>41439</v>
      </c>
      <c r="I791">
        <v>108221</v>
      </c>
      <c r="J791">
        <v>0.05</v>
      </c>
      <c r="K791">
        <v>113632.05</v>
      </c>
      <c r="L791" s="1" t="s">
        <v>77</v>
      </c>
      <c r="M791" s="1" t="s">
        <v>78</v>
      </c>
      <c r="N791" s="2"/>
      <c r="O791">
        <v>790</v>
      </c>
      <c r="P791">
        <v>0</v>
      </c>
      <c r="Q791" t="s">
        <v>25</v>
      </c>
      <c r="R791">
        <f ca="1">DATEDIF(EMP_RAW_Data[[#This Row],[Hire Date]],IF(EMP_RAW_Data[[#This Row],[Exit Date]]="",TODAY(),EMP_RAW_Data[[#This Row],[Exit Date]]),"Y")</f>
        <v>12</v>
      </c>
      <c r="S791" t="str">
        <f>IF(EMP_RAW_Data[[#This Row],[Status]]=1,"Inactive","Active")</f>
        <v>Active</v>
      </c>
    </row>
    <row r="792" spans="1:19" hidden="1" x14ac:dyDescent="0.3">
      <c r="A792" s="1" t="s">
        <v>875</v>
      </c>
      <c r="B792" s="1" t="s">
        <v>107</v>
      </c>
      <c r="C792" s="1" t="s">
        <v>58</v>
      </c>
      <c r="D792" s="1" t="s">
        <v>47</v>
      </c>
      <c r="E792" s="1" t="s">
        <v>29</v>
      </c>
      <c r="F792">
        <v>46</v>
      </c>
      <c r="G792" t="s">
        <v>36</v>
      </c>
      <c r="H792" s="2">
        <v>39133</v>
      </c>
      <c r="I792">
        <v>75579</v>
      </c>
      <c r="J792">
        <v>0</v>
      </c>
      <c r="K792">
        <v>75579</v>
      </c>
      <c r="L792" s="1" t="s">
        <v>23</v>
      </c>
      <c r="M792" s="1" t="s">
        <v>24</v>
      </c>
      <c r="N792" s="2"/>
      <c r="O792">
        <v>791</v>
      </c>
      <c r="P792">
        <v>0</v>
      </c>
      <c r="Q792" t="s">
        <v>25</v>
      </c>
      <c r="R792">
        <f ca="1">DATEDIF(EMP_RAW_Data[[#This Row],[Hire Date]],IF(EMP_RAW_Data[[#This Row],[Exit Date]]="",TODAY(),EMP_RAW_Data[[#This Row],[Exit Date]]),"Y")</f>
        <v>19</v>
      </c>
      <c r="S792" t="str">
        <f>IF(EMP_RAW_Data[[#This Row],[Status]]=1,"Inactive","Active")</f>
        <v>Active</v>
      </c>
    </row>
    <row r="793" spans="1:19" hidden="1" x14ac:dyDescent="0.3">
      <c r="A793" s="1" t="s">
        <v>876</v>
      </c>
      <c r="B793" s="1" t="s">
        <v>18</v>
      </c>
      <c r="C793" s="1" t="s">
        <v>58</v>
      </c>
      <c r="D793" s="1" t="s">
        <v>28</v>
      </c>
      <c r="E793" s="1" t="s">
        <v>29</v>
      </c>
      <c r="F793">
        <v>41</v>
      </c>
      <c r="G793" t="s">
        <v>59</v>
      </c>
      <c r="H793" s="2">
        <v>42365</v>
      </c>
      <c r="I793">
        <v>129903</v>
      </c>
      <c r="J793">
        <v>0.13</v>
      </c>
      <c r="K793">
        <v>146790.39000000001</v>
      </c>
      <c r="L793" s="1" t="s">
        <v>77</v>
      </c>
      <c r="M793" s="1" t="s">
        <v>148</v>
      </c>
      <c r="N793" s="2"/>
      <c r="O793">
        <v>792</v>
      </c>
      <c r="P793">
        <v>0</v>
      </c>
      <c r="Q793" t="s">
        <v>25</v>
      </c>
      <c r="R793">
        <f ca="1">DATEDIF(EMP_RAW_Data[[#This Row],[Hire Date]],IF(EMP_RAW_Data[[#This Row],[Exit Date]]="",TODAY(),EMP_RAW_Data[[#This Row],[Exit Date]]),"Y")</f>
        <v>10</v>
      </c>
      <c r="S793" t="str">
        <f>IF(EMP_RAW_Data[[#This Row],[Status]]=1,"Inactive","Active")</f>
        <v>Active</v>
      </c>
    </row>
    <row r="794" spans="1:19" hidden="1" x14ac:dyDescent="0.3">
      <c r="A794" s="1" t="s">
        <v>877</v>
      </c>
      <c r="B794" s="1" t="s">
        <v>33</v>
      </c>
      <c r="C794" s="1" t="s">
        <v>34</v>
      </c>
      <c r="D794" s="1" t="s">
        <v>20</v>
      </c>
      <c r="E794" s="1" t="s">
        <v>21</v>
      </c>
      <c r="F794">
        <v>25</v>
      </c>
      <c r="G794" t="s">
        <v>40</v>
      </c>
      <c r="H794" s="2">
        <v>44303</v>
      </c>
      <c r="I794">
        <v>186870</v>
      </c>
      <c r="J794">
        <v>0.2</v>
      </c>
      <c r="K794">
        <v>224244</v>
      </c>
      <c r="L794" s="1" t="s">
        <v>30</v>
      </c>
      <c r="M794" s="1" t="s">
        <v>65</v>
      </c>
      <c r="N794" s="2"/>
      <c r="O794">
        <v>793</v>
      </c>
      <c r="P794">
        <v>0</v>
      </c>
      <c r="Q794" t="s">
        <v>25</v>
      </c>
      <c r="R794">
        <f ca="1">DATEDIF(EMP_RAW_Data[[#This Row],[Hire Date]],IF(EMP_RAW_Data[[#This Row],[Exit Date]]="",TODAY(),EMP_RAW_Data[[#This Row],[Exit Date]]),"Y")</f>
        <v>4</v>
      </c>
      <c r="S794" t="str">
        <f>IF(EMP_RAW_Data[[#This Row],[Status]]=1,"Inactive","Active")</f>
        <v>Active</v>
      </c>
    </row>
    <row r="795" spans="1:19" hidden="1" x14ac:dyDescent="0.3">
      <c r="A795" s="1" t="s">
        <v>878</v>
      </c>
      <c r="B795" s="1" t="s">
        <v>96</v>
      </c>
      <c r="C795" s="1" t="s">
        <v>46</v>
      </c>
      <c r="D795" s="1" t="s">
        <v>20</v>
      </c>
      <c r="E795" s="1" t="s">
        <v>29</v>
      </c>
      <c r="F795">
        <v>37</v>
      </c>
      <c r="G795" t="s">
        <v>59</v>
      </c>
      <c r="H795" s="2">
        <v>40291</v>
      </c>
      <c r="I795">
        <v>57531</v>
      </c>
      <c r="J795">
        <v>0</v>
      </c>
      <c r="K795">
        <v>57531</v>
      </c>
      <c r="L795" s="1" t="s">
        <v>23</v>
      </c>
      <c r="M795" s="1" t="s">
        <v>37</v>
      </c>
      <c r="N795" s="2"/>
      <c r="O795">
        <v>794</v>
      </c>
      <c r="P795">
        <v>0</v>
      </c>
      <c r="Q795" t="s">
        <v>25</v>
      </c>
      <c r="R795">
        <f ca="1">DATEDIF(EMP_RAW_Data[[#This Row],[Hire Date]],IF(EMP_RAW_Data[[#This Row],[Exit Date]]="",TODAY(),EMP_RAW_Data[[#This Row],[Exit Date]]),"Y")</f>
        <v>15</v>
      </c>
      <c r="S795" t="str">
        <f>IF(EMP_RAW_Data[[#This Row],[Status]]=1,"Inactive","Active")</f>
        <v>Active</v>
      </c>
    </row>
    <row r="796" spans="1:19" hidden="1" x14ac:dyDescent="0.3">
      <c r="A796" s="1" t="s">
        <v>879</v>
      </c>
      <c r="B796" s="1" t="s">
        <v>51</v>
      </c>
      <c r="C796" s="1" t="s">
        <v>34</v>
      </c>
      <c r="D796" s="1" t="s">
        <v>20</v>
      </c>
      <c r="E796" s="1" t="s">
        <v>29</v>
      </c>
      <c r="F796">
        <v>46</v>
      </c>
      <c r="G796" t="s">
        <v>36</v>
      </c>
      <c r="H796" s="2">
        <v>40657</v>
      </c>
      <c r="I796">
        <v>55894</v>
      </c>
      <c r="J796">
        <v>0</v>
      </c>
      <c r="K796">
        <v>55894</v>
      </c>
      <c r="L796" s="1" t="s">
        <v>23</v>
      </c>
      <c r="M796" s="1" t="s">
        <v>24</v>
      </c>
      <c r="N796" s="2"/>
      <c r="O796">
        <v>795</v>
      </c>
      <c r="P796">
        <v>0</v>
      </c>
      <c r="Q796" t="s">
        <v>25</v>
      </c>
      <c r="R796">
        <f ca="1">DATEDIF(EMP_RAW_Data[[#This Row],[Hire Date]],IF(EMP_RAW_Data[[#This Row],[Exit Date]]="",TODAY(),EMP_RAW_Data[[#This Row],[Exit Date]]),"Y")</f>
        <v>14</v>
      </c>
      <c r="S796" t="str">
        <f>IF(EMP_RAW_Data[[#This Row],[Status]]=1,"Inactive","Active")</f>
        <v>Active</v>
      </c>
    </row>
    <row r="797" spans="1:19" hidden="1" x14ac:dyDescent="0.3">
      <c r="A797" s="1" t="s">
        <v>880</v>
      </c>
      <c r="B797" s="1" t="s">
        <v>124</v>
      </c>
      <c r="C797" s="1" t="s">
        <v>62</v>
      </c>
      <c r="D797" s="1" t="s">
        <v>28</v>
      </c>
      <c r="E797" s="1" t="s">
        <v>21</v>
      </c>
      <c r="F797">
        <v>42</v>
      </c>
      <c r="G797" t="s">
        <v>59</v>
      </c>
      <c r="H797" s="2">
        <v>41026</v>
      </c>
      <c r="I797">
        <v>72903</v>
      </c>
      <c r="J797">
        <v>0</v>
      </c>
      <c r="K797">
        <v>72903</v>
      </c>
      <c r="L797" s="1" t="s">
        <v>23</v>
      </c>
      <c r="M797" s="1" t="s">
        <v>43</v>
      </c>
      <c r="N797" s="2"/>
      <c r="O797">
        <v>796</v>
      </c>
      <c r="P797">
        <v>0</v>
      </c>
      <c r="Q797" t="s">
        <v>25</v>
      </c>
      <c r="R797">
        <f ca="1">DATEDIF(EMP_RAW_Data[[#This Row],[Hire Date]],IF(EMP_RAW_Data[[#This Row],[Exit Date]]="",TODAY(),EMP_RAW_Data[[#This Row],[Exit Date]]),"Y")</f>
        <v>13</v>
      </c>
      <c r="S797" t="str">
        <f>IF(EMP_RAW_Data[[#This Row],[Status]]=1,"Inactive","Active")</f>
        <v>Active</v>
      </c>
    </row>
    <row r="798" spans="1:19" hidden="1" x14ac:dyDescent="0.3">
      <c r="A798" s="1" t="s">
        <v>881</v>
      </c>
      <c r="B798" s="1" t="s">
        <v>51</v>
      </c>
      <c r="C798" s="1" t="s">
        <v>34</v>
      </c>
      <c r="D798" s="1" t="s">
        <v>47</v>
      </c>
      <c r="E798" s="1" t="s">
        <v>29</v>
      </c>
      <c r="F798">
        <v>37</v>
      </c>
      <c r="G798" t="s">
        <v>59</v>
      </c>
      <c r="H798" s="2">
        <v>42317</v>
      </c>
      <c r="I798">
        <v>45369</v>
      </c>
      <c r="J798">
        <v>0</v>
      </c>
      <c r="K798">
        <v>45369</v>
      </c>
      <c r="L798" s="1" t="s">
        <v>30</v>
      </c>
      <c r="M798" s="1" t="s">
        <v>90</v>
      </c>
      <c r="N798" s="2"/>
      <c r="O798">
        <v>797</v>
      </c>
      <c r="P798">
        <v>0</v>
      </c>
      <c r="Q798" t="s">
        <v>25</v>
      </c>
      <c r="R798">
        <f ca="1">DATEDIF(EMP_RAW_Data[[#This Row],[Hire Date]],IF(EMP_RAW_Data[[#This Row],[Exit Date]]="",TODAY(),EMP_RAW_Data[[#This Row],[Exit Date]]),"Y")</f>
        <v>10</v>
      </c>
      <c r="S798" t="str">
        <f>IF(EMP_RAW_Data[[#This Row],[Status]]=1,"Inactive","Active")</f>
        <v>Active</v>
      </c>
    </row>
    <row r="799" spans="1:19" hidden="1" x14ac:dyDescent="0.3">
      <c r="A799" s="1" t="s">
        <v>882</v>
      </c>
      <c r="B799" s="1" t="s">
        <v>49</v>
      </c>
      <c r="C799" s="1" t="s">
        <v>34</v>
      </c>
      <c r="D799" s="1" t="s">
        <v>35</v>
      </c>
      <c r="E799" s="1" t="s">
        <v>29</v>
      </c>
      <c r="F799">
        <v>60</v>
      </c>
      <c r="G799" t="s">
        <v>22</v>
      </c>
      <c r="H799" s="2">
        <v>40344</v>
      </c>
      <c r="I799">
        <v>106578</v>
      </c>
      <c r="J799">
        <v>0.09</v>
      </c>
      <c r="K799">
        <v>116170.02</v>
      </c>
      <c r="L799" s="1" t="s">
        <v>23</v>
      </c>
      <c r="M799" s="1" t="s">
        <v>52</v>
      </c>
      <c r="N799" s="2"/>
      <c r="O799">
        <v>798</v>
      </c>
      <c r="P799">
        <v>0</v>
      </c>
      <c r="Q799" t="s">
        <v>25</v>
      </c>
      <c r="R799">
        <f ca="1">DATEDIF(EMP_RAW_Data[[#This Row],[Hire Date]],IF(EMP_RAW_Data[[#This Row],[Exit Date]]="",TODAY(),EMP_RAW_Data[[#This Row],[Exit Date]]),"Y")</f>
        <v>15</v>
      </c>
      <c r="S799" t="str">
        <f>IF(EMP_RAW_Data[[#This Row],[Status]]=1,"Inactive","Active")</f>
        <v>Active</v>
      </c>
    </row>
    <row r="800" spans="1:19" hidden="1" x14ac:dyDescent="0.3">
      <c r="A800" s="1" t="s">
        <v>883</v>
      </c>
      <c r="B800" s="1" t="s">
        <v>107</v>
      </c>
      <c r="C800" s="1" t="s">
        <v>58</v>
      </c>
      <c r="D800" s="1" t="s">
        <v>20</v>
      </c>
      <c r="E800" s="1" t="s">
        <v>21</v>
      </c>
      <c r="F800">
        <v>52</v>
      </c>
      <c r="G800" t="s">
        <v>36</v>
      </c>
      <c r="H800" s="2">
        <v>36416</v>
      </c>
      <c r="I800">
        <v>92994</v>
      </c>
      <c r="J800">
        <v>0</v>
      </c>
      <c r="K800">
        <v>92994</v>
      </c>
      <c r="L800" s="1" t="s">
        <v>23</v>
      </c>
      <c r="M800" s="1" t="s">
        <v>37</v>
      </c>
      <c r="N800" s="2"/>
      <c r="O800">
        <v>799</v>
      </c>
      <c r="P800">
        <v>0</v>
      </c>
      <c r="Q800" t="s">
        <v>25</v>
      </c>
      <c r="R800">
        <f ca="1">DATEDIF(EMP_RAW_Data[[#This Row],[Hire Date]],IF(EMP_RAW_Data[[#This Row],[Exit Date]]="",TODAY(),EMP_RAW_Data[[#This Row],[Exit Date]]),"Y")</f>
        <v>26</v>
      </c>
      <c r="S800" t="str">
        <f>IF(EMP_RAW_Data[[#This Row],[Status]]=1,"Inactive","Active")</f>
        <v>Active</v>
      </c>
    </row>
    <row r="801" spans="1:19" hidden="1" x14ac:dyDescent="0.3">
      <c r="A801" s="1" t="s">
        <v>884</v>
      </c>
      <c r="B801" s="1" t="s">
        <v>42</v>
      </c>
      <c r="C801" s="1" t="s">
        <v>46</v>
      </c>
      <c r="D801" s="1" t="s">
        <v>35</v>
      </c>
      <c r="E801" s="1" t="s">
        <v>29</v>
      </c>
      <c r="F801">
        <v>59</v>
      </c>
      <c r="G801" t="s">
        <v>22</v>
      </c>
      <c r="H801" s="2">
        <v>35502</v>
      </c>
      <c r="I801">
        <v>83685</v>
      </c>
      <c r="J801">
        <v>0</v>
      </c>
      <c r="K801">
        <v>83685</v>
      </c>
      <c r="L801" s="1" t="s">
        <v>30</v>
      </c>
      <c r="M801" s="1" t="s">
        <v>90</v>
      </c>
      <c r="N801" s="2"/>
      <c r="O801">
        <v>800</v>
      </c>
      <c r="P801">
        <v>0</v>
      </c>
      <c r="Q801" t="s">
        <v>25</v>
      </c>
      <c r="R801">
        <f ca="1">DATEDIF(EMP_RAW_Data[[#This Row],[Hire Date]],IF(EMP_RAW_Data[[#This Row],[Exit Date]]="",TODAY(),EMP_RAW_Data[[#This Row],[Exit Date]]),"Y")</f>
        <v>29</v>
      </c>
      <c r="S801" t="str">
        <f>IF(EMP_RAW_Data[[#This Row],[Status]]=1,"Inactive","Active")</f>
        <v>Active</v>
      </c>
    </row>
    <row r="802" spans="1:19" hidden="1" x14ac:dyDescent="0.3">
      <c r="A802" s="1" t="s">
        <v>885</v>
      </c>
      <c r="B802" s="1" t="s">
        <v>142</v>
      </c>
      <c r="C802" s="1" t="s">
        <v>19</v>
      </c>
      <c r="D802" s="1" t="s">
        <v>20</v>
      </c>
      <c r="E802" s="1" t="s">
        <v>29</v>
      </c>
      <c r="F802">
        <v>48</v>
      </c>
      <c r="G802" t="s">
        <v>36</v>
      </c>
      <c r="H802" s="2">
        <v>40435</v>
      </c>
      <c r="I802">
        <v>99335</v>
      </c>
      <c r="J802">
        <v>0</v>
      </c>
      <c r="K802">
        <v>99335</v>
      </c>
      <c r="L802" s="1" t="s">
        <v>23</v>
      </c>
      <c r="M802" s="1" t="s">
        <v>43</v>
      </c>
      <c r="N802" s="2"/>
      <c r="O802">
        <v>801</v>
      </c>
      <c r="P802">
        <v>0</v>
      </c>
      <c r="Q802" t="s">
        <v>25</v>
      </c>
      <c r="R802">
        <f ca="1">DATEDIF(EMP_RAW_Data[[#This Row],[Hire Date]],IF(EMP_RAW_Data[[#This Row],[Exit Date]]="",TODAY(),EMP_RAW_Data[[#This Row],[Exit Date]]),"Y")</f>
        <v>15</v>
      </c>
      <c r="S802" t="str">
        <f>IF(EMP_RAW_Data[[#This Row],[Status]]=1,"Inactive","Active")</f>
        <v>Active</v>
      </c>
    </row>
    <row r="803" spans="1:19" hidden="1" x14ac:dyDescent="0.3">
      <c r="A803" s="1" t="s">
        <v>886</v>
      </c>
      <c r="B803" s="1" t="s">
        <v>18</v>
      </c>
      <c r="C803" s="1" t="s">
        <v>58</v>
      </c>
      <c r="D803" s="1" t="s">
        <v>28</v>
      </c>
      <c r="E803" s="1" t="s">
        <v>29</v>
      </c>
      <c r="F803">
        <v>42</v>
      </c>
      <c r="G803" t="s">
        <v>59</v>
      </c>
      <c r="H803" s="2">
        <v>41382</v>
      </c>
      <c r="I803">
        <v>131179</v>
      </c>
      <c r="J803">
        <v>0.15</v>
      </c>
      <c r="K803">
        <v>150855.85</v>
      </c>
      <c r="L803" s="1" t="s">
        <v>23</v>
      </c>
      <c r="M803" s="1" t="s">
        <v>74</v>
      </c>
      <c r="N803" s="2"/>
      <c r="O803">
        <v>802</v>
      </c>
      <c r="P803">
        <v>0</v>
      </c>
      <c r="Q803" t="s">
        <v>25</v>
      </c>
      <c r="R803">
        <f ca="1">DATEDIF(EMP_RAW_Data[[#This Row],[Hire Date]],IF(EMP_RAW_Data[[#This Row],[Exit Date]]="",TODAY(),EMP_RAW_Data[[#This Row],[Exit Date]]),"Y")</f>
        <v>12</v>
      </c>
      <c r="S803" t="str">
        <f>IF(EMP_RAW_Data[[#This Row],[Status]]=1,"Inactive","Active")</f>
        <v>Active</v>
      </c>
    </row>
    <row r="804" spans="1:19" hidden="1" x14ac:dyDescent="0.3">
      <c r="A804" s="1" t="s">
        <v>887</v>
      </c>
      <c r="B804" s="1" t="s">
        <v>39</v>
      </c>
      <c r="C804" s="1" t="s">
        <v>19</v>
      </c>
      <c r="D804" s="1" t="s">
        <v>35</v>
      </c>
      <c r="E804" s="1" t="s">
        <v>29</v>
      </c>
      <c r="F804">
        <v>35</v>
      </c>
      <c r="G804" t="s">
        <v>59</v>
      </c>
      <c r="H804" s="2">
        <v>42493</v>
      </c>
      <c r="I804">
        <v>73899</v>
      </c>
      <c r="J804">
        <v>0.05</v>
      </c>
      <c r="K804">
        <v>77593.95</v>
      </c>
      <c r="L804" s="1" t="s">
        <v>30</v>
      </c>
      <c r="M804" s="1" t="s">
        <v>102</v>
      </c>
      <c r="N804" s="2"/>
      <c r="O804">
        <v>803</v>
      </c>
      <c r="P804">
        <v>0</v>
      </c>
      <c r="Q804" t="s">
        <v>25</v>
      </c>
      <c r="R804">
        <f ca="1">DATEDIF(EMP_RAW_Data[[#This Row],[Hire Date]],IF(EMP_RAW_Data[[#This Row],[Exit Date]]="",TODAY(),EMP_RAW_Data[[#This Row],[Exit Date]]),"Y")</f>
        <v>9</v>
      </c>
      <c r="S804" t="str">
        <f>IF(EMP_RAW_Data[[#This Row],[Status]]=1,"Inactive","Active")</f>
        <v>Active</v>
      </c>
    </row>
    <row r="805" spans="1:19" hidden="1" x14ac:dyDescent="0.3">
      <c r="A805" s="1" t="s">
        <v>888</v>
      </c>
      <c r="B805" s="1" t="s">
        <v>68</v>
      </c>
      <c r="C805" s="1" t="s">
        <v>54</v>
      </c>
      <c r="D805" s="1" t="s">
        <v>28</v>
      </c>
      <c r="E805" s="1" t="s">
        <v>29</v>
      </c>
      <c r="F805">
        <v>64</v>
      </c>
      <c r="G805" t="s">
        <v>22</v>
      </c>
      <c r="H805" s="2">
        <v>41362</v>
      </c>
      <c r="I805">
        <v>252325</v>
      </c>
      <c r="J805">
        <v>0.4</v>
      </c>
      <c r="K805">
        <v>353255</v>
      </c>
      <c r="L805" s="1" t="s">
        <v>23</v>
      </c>
      <c r="M805" s="1" t="s">
        <v>74</v>
      </c>
      <c r="N805" s="2"/>
      <c r="O805">
        <v>804</v>
      </c>
      <c r="P805">
        <v>0</v>
      </c>
      <c r="Q805" t="s">
        <v>25</v>
      </c>
      <c r="R805">
        <f ca="1">DATEDIF(EMP_RAW_Data[[#This Row],[Hire Date]],IF(EMP_RAW_Data[[#This Row],[Exit Date]]="",TODAY(),EMP_RAW_Data[[#This Row],[Exit Date]]),"Y")</f>
        <v>12</v>
      </c>
      <c r="S805" t="str">
        <f>IF(EMP_RAW_Data[[#This Row],[Status]]=1,"Inactive","Active")</f>
        <v>Active</v>
      </c>
    </row>
    <row r="806" spans="1:19" hidden="1" x14ac:dyDescent="0.3">
      <c r="A806" s="1" t="s">
        <v>889</v>
      </c>
      <c r="B806" s="1" t="s">
        <v>96</v>
      </c>
      <c r="C806" s="1" t="s">
        <v>34</v>
      </c>
      <c r="D806" s="1" t="s">
        <v>20</v>
      </c>
      <c r="E806" s="1" t="s">
        <v>21</v>
      </c>
      <c r="F806">
        <v>30</v>
      </c>
      <c r="G806" t="s">
        <v>40</v>
      </c>
      <c r="H806" s="2">
        <v>42068</v>
      </c>
      <c r="I806">
        <v>52697</v>
      </c>
      <c r="J806">
        <v>0</v>
      </c>
      <c r="K806">
        <v>52697</v>
      </c>
      <c r="L806" s="1" t="s">
        <v>23</v>
      </c>
      <c r="M806" s="1" t="s">
        <v>24</v>
      </c>
      <c r="N806" s="2"/>
      <c r="O806">
        <v>805</v>
      </c>
      <c r="P806">
        <v>0</v>
      </c>
      <c r="Q806" t="s">
        <v>25</v>
      </c>
      <c r="R806">
        <f ca="1">DATEDIF(EMP_RAW_Data[[#This Row],[Hire Date]],IF(EMP_RAW_Data[[#This Row],[Exit Date]]="",TODAY(),EMP_RAW_Data[[#This Row],[Exit Date]]),"Y")</f>
        <v>11</v>
      </c>
      <c r="S806" t="str">
        <f>IF(EMP_RAW_Data[[#This Row],[Status]]=1,"Inactive","Active")</f>
        <v>Active</v>
      </c>
    </row>
    <row r="807" spans="1:19" hidden="1" x14ac:dyDescent="0.3">
      <c r="A807" s="1" t="s">
        <v>890</v>
      </c>
      <c r="B807" s="1" t="s">
        <v>128</v>
      </c>
      <c r="C807" s="1" t="s">
        <v>62</v>
      </c>
      <c r="D807" s="1" t="s">
        <v>35</v>
      </c>
      <c r="E807" s="1" t="s">
        <v>21</v>
      </c>
      <c r="F807">
        <v>29</v>
      </c>
      <c r="G807" t="s">
        <v>40</v>
      </c>
      <c r="H807" s="2">
        <v>44099</v>
      </c>
      <c r="I807">
        <v>123588</v>
      </c>
      <c r="J807">
        <v>0</v>
      </c>
      <c r="K807">
        <v>123588</v>
      </c>
      <c r="L807" s="1" t="s">
        <v>77</v>
      </c>
      <c r="M807" s="1" t="s">
        <v>148</v>
      </c>
      <c r="N807" s="2"/>
      <c r="O807">
        <v>806</v>
      </c>
      <c r="P807">
        <v>0</v>
      </c>
      <c r="Q807" t="s">
        <v>25</v>
      </c>
      <c r="R807">
        <f ca="1">DATEDIF(EMP_RAW_Data[[#This Row],[Hire Date]],IF(EMP_RAW_Data[[#This Row],[Exit Date]]="",TODAY(),EMP_RAW_Data[[#This Row],[Exit Date]]),"Y")</f>
        <v>5</v>
      </c>
      <c r="S807" t="str">
        <f>IF(EMP_RAW_Data[[#This Row],[Status]]=1,"Inactive","Active")</f>
        <v>Active</v>
      </c>
    </row>
    <row r="808" spans="1:19" hidden="1" x14ac:dyDescent="0.3">
      <c r="A808" s="1" t="s">
        <v>891</v>
      </c>
      <c r="B808" s="1" t="s">
        <v>68</v>
      </c>
      <c r="C808" s="1" t="s">
        <v>54</v>
      </c>
      <c r="D808" s="1" t="s">
        <v>47</v>
      </c>
      <c r="E808" s="1" t="s">
        <v>21</v>
      </c>
      <c r="F808">
        <v>47</v>
      </c>
      <c r="G808" t="s">
        <v>36</v>
      </c>
      <c r="H808" s="2">
        <v>44556</v>
      </c>
      <c r="I808">
        <v>243568</v>
      </c>
      <c r="J808">
        <v>0.33</v>
      </c>
      <c r="K808">
        <v>323945.44</v>
      </c>
      <c r="L808" s="1" t="s">
        <v>23</v>
      </c>
      <c r="M808" s="1" t="s">
        <v>55</v>
      </c>
      <c r="N808" s="2"/>
      <c r="O808">
        <v>807</v>
      </c>
      <c r="P808">
        <v>0</v>
      </c>
      <c r="Q808" t="s">
        <v>25</v>
      </c>
      <c r="R808">
        <f ca="1">DATEDIF(EMP_RAW_Data[[#This Row],[Hire Date]],IF(EMP_RAW_Data[[#This Row],[Exit Date]]="",TODAY(),EMP_RAW_Data[[#This Row],[Exit Date]]),"Y")</f>
        <v>4</v>
      </c>
      <c r="S808" t="str">
        <f>IF(EMP_RAW_Data[[#This Row],[Status]]=1,"Inactive","Active")</f>
        <v>Active</v>
      </c>
    </row>
    <row r="809" spans="1:19" hidden="1" x14ac:dyDescent="0.3">
      <c r="A809" s="1" t="s">
        <v>892</v>
      </c>
      <c r="B809" s="1" t="s">
        <v>33</v>
      </c>
      <c r="C809" s="1" t="s">
        <v>46</v>
      </c>
      <c r="D809" s="1" t="s">
        <v>20</v>
      </c>
      <c r="E809" s="1" t="s">
        <v>29</v>
      </c>
      <c r="F809">
        <v>49</v>
      </c>
      <c r="G809" t="s">
        <v>36</v>
      </c>
      <c r="H809" s="2">
        <v>37092</v>
      </c>
      <c r="I809">
        <v>199176</v>
      </c>
      <c r="J809">
        <v>0.24</v>
      </c>
      <c r="K809">
        <v>246978.24</v>
      </c>
      <c r="L809" s="1" t="s">
        <v>23</v>
      </c>
      <c r="M809" s="1" t="s">
        <v>43</v>
      </c>
      <c r="N809" s="2"/>
      <c r="O809">
        <v>808</v>
      </c>
      <c r="P809">
        <v>0</v>
      </c>
      <c r="Q809" t="s">
        <v>25</v>
      </c>
      <c r="R809">
        <f ca="1">DATEDIF(EMP_RAW_Data[[#This Row],[Hire Date]],IF(EMP_RAW_Data[[#This Row],[Exit Date]]="",TODAY(),EMP_RAW_Data[[#This Row],[Exit Date]]),"Y")</f>
        <v>24</v>
      </c>
      <c r="S809" t="str">
        <f>IF(EMP_RAW_Data[[#This Row],[Status]]=1,"Inactive","Active")</f>
        <v>Active</v>
      </c>
    </row>
    <row r="810" spans="1:19" hidden="1" x14ac:dyDescent="0.3">
      <c r="A810" s="1" t="s">
        <v>893</v>
      </c>
      <c r="B810" s="1" t="s">
        <v>27</v>
      </c>
      <c r="C810" s="1" t="s">
        <v>19</v>
      </c>
      <c r="D810" s="1" t="s">
        <v>35</v>
      </c>
      <c r="E810" s="1" t="s">
        <v>21</v>
      </c>
      <c r="F810">
        <v>56</v>
      </c>
      <c r="G810" t="s">
        <v>22</v>
      </c>
      <c r="H810" s="2">
        <v>35238</v>
      </c>
      <c r="I810">
        <v>82806</v>
      </c>
      <c r="J810">
        <v>0</v>
      </c>
      <c r="K810">
        <v>82806</v>
      </c>
      <c r="L810" s="1" t="s">
        <v>23</v>
      </c>
      <c r="M810" s="1" t="s">
        <v>24</v>
      </c>
      <c r="N810" s="2"/>
      <c r="O810">
        <v>809</v>
      </c>
      <c r="P810">
        <v>0</v>
      </c>
      <c r="Q810" t="s">
        <v>25</v>
      </c>
      <c r="R810">
        <f ca="1">DATEDIF(EMP_RAW_Data[[#This Row],[Hire Date]],IF(EMP_RAW_Data[[#This Row],[Exit Date]]="",TODAY(),EMP_RAW_Data[[#This Row],[Exit Date]]),"Y")</f>
        <v>29</v>
      </c>
      <c r="S810" t="str">
        <f>IF(EMP_RAW_Data[[#This Row],[Status]]=1,"Inactive","Active")</f>
        <v>Active</v>
      </c>
    </row>
    <row r="811" spans="1:19" hidden="1" x14ac:dyDescent="0.3">
      <c r="A811" s="1" t="s">
        <v>894</v>
      </c>
      <c r="B811" s="1" t="s">
        <v>33</v>
      </c>
      <c r="C811" s="1" t="s">
        <v>69</v>
      </c>
      <c r="D811" s="1" t="s">
        <v>35</v>
      </c>
      <c r="E811" s="1" t="s">
        <v>21</v>
      </c>
      <c r="F811">
        <v>53</v>
      </c>
      <c r="G811" t="s">
        <v>36</v>
      </c>
      <c r="H811" s="2">
        <v>35601</v>
      </c>
      <c r="I811">
        <v>164399</v>
      </c>
      <c r="J811">
        <v>0.25</v>
      </c>
      <c r="K811">
        <v>205498.75</v>
      </c>
      <c r="L811" s="1" t="s">
        <v>23</v>
      </c>
      <c r="M811" s="1" t="s">
        <v>24</v>
      </c>
      <c r="N811" s="2"/>
      <c r="O811">
        <v>810</v>
      </c>
      <c r="P811">
        <v>0</v>
      </c>
      <c r="Q811" t="s">
        <v>25</v>
      </c>
      <c r="R811">
        <f ca="1">DATEDIF(EMP_RAW_Data[[#This Row],[Hire Date]],IF(EMP_RAW_Data[[#This Row],[Exit Date]]="",TODAY(),EMP_RAW_Data[[#This Row],[Exit Date]]),"Y")</f>
        <v>28</v>
      </c>
      <c r="S811" t="str">
        <f>IF(EMP_RAW_Data[[#This Row],[Status]]=1,"Inactive","Active")</f>
        <v>Active</v>
      </c>
    </row>
    <row r="812" spans="1:19" hidden="1" x14ac:dyDescent="0.3">
      <c r="A812" s="1" t="s">
        <v>895</v>
      </c>
      <c r="B812" s="1" t="s">
        <v>18</v>
      </c>
      <c r="C812" s="1" t="s">
        <v>58</v>
      </c>
      <c r="D812" s="1" t="s">
        <v>28</v>
      </c>
      <c r="E812" s="1" t="s">
        <v>21</v>
      </c>
      <c r="F812">
        <v>32</v>
      </c>
      <c r="G812" t="s">
        <v>40</v>
      </c>
      <c r="H812" s="2">
        <v>42839</v>
      </c>
      <c r="I812">
        <v>154956</v>
      </c>
      <c r="J812">
        <v>0.13</v>
      </c>
      <c r="K812">
        <v>175100.28</v>
      </c>
      <c r="L812" s="1" t="s">
        <v>23</v>
      </c>
      <c r="M812" s="1" t="s">
        <v>43</v>
      </c>
      <c r="N812" s="2"/>
      <c r="O812">
        <v>811</v>
      </c>
      <c r="P812">
        <v>0</v>
      </c>
      <c r="Q812" t="s">
        <v>25</v>
      </c>
      <c r="R812">
        <f ca="1">DATEDIF(EMP_RAW_Data[[#This Row],[Hire Date]],IF(EMP_RAW_Data[[#This Row],[Exit Date]]="",TODAY(),EMP_RAW_Data[[#This Row],[Exit Date]]),"Y")</f>
        <v>8</v>
      </c>
      <c r="S812" t="str">
        <f>IF(EMP_RAW_Data[[#This Row],[Status]]=1,"Inactive","Active")</f>
        <v>Active</v>
      </c>
    </row>
    <row r="813" spans="1:19" x14ac:dyDescent="0.3">
      <c r="A813" s="1" t="s">
        <v>896</v>
      </c>
      <c r="B813" s="1" t="s">
        <v>18</v>
      </c>
      <c r="C813" s="1" t="s">
        <v>69</v>
      </c>
      <c r="D813" s="1" t="s">
        <v>28</v>
      </c>
      <c r="E813" s="1" t="s">
        <v>29</v>
      </c>
      <c r="F813">
        <v>32</v>
      </c>
      <c r="G813" t="s">
        <v>40</v>
      </c>
      <c r="H813" s="2">
        <v>42764</v>
      </c>
      <c r="I813">
        <v>143970</v>
      </c>
      <c r="J813">
        <v>0.12</v>
      </c>
      <c r="K813">
        <v>161246.39999999999</v>
      </c>
      <c r="L813" s="1" t="s">
        <v>23</v>
      </c>
      <c r="M813" s="1" t="s">
        <v>24</v>
      </c>
      <c r="N813" s="2">
        <v>43078</v>
      </c>
      <c r="O813">
        <v>812</v>
      </c>
      <c r="P813">
        <v>1</v>
      </c>
      <c r="Q813" t="s">
        <v>25</v>
      </c>
      <c r="R813">
        <f ca="1">DATEDIF(EMP_RAW_Data[[#This Row],[Hire Date]],IF(EMP_RAW_Data[[#This Row],[Exit Date]]="",TODAY(),EMP_RAW_Data[[#This Row],[Exit Date]]),"Y")</f>
        <v>0</v>
      </c>
      <c r="S813" t="str">
        <f>IF(EMP_RAW_Data[[#This Row],[Status]]=1,"Inactive","Active")</f>
        <v>Inactive</v>
      </c>
    </row>
    <row r="814" spans="1:19" hidden="1" x14ac:dyDescent="0.3">
      <c r="A814" s="1" t="s">
        <v>897</v>
      </c>
      <c r="B814" s="1" t="s">
        <v>33</v>
      </c>
      <c r="C814" s="1" t="s">
        <v>46</v>
      </c>
      <c r="D814" s="1" t="s">
        <v>47</v>
      </c>
      <c r="E814" s="1" t="s">
        <v>29</v>
      </c>
      <c r="F814">
        <v>52</v>
      </c>
      <c r="G814" t="s">
        <v>36</v>
      </c>
      <c r="H814" s="2">
        <v>44099</v>
      </c>
      <c r="I814">
        <v>163143</v>
      </c>
      <c r="J814">
        <v>0.28000000000000003</v>
      </c>
      <c r="K814">
        <v>208823.04000000001</v>
      </c>
      <c r="L814" s="1" t="s">
        <v>77</v>
      </c>
      <c r="M814" s="1" t="s">
        <v>148</v>
      </c>
      <c r="N814" s="2"/>
      <c r="O814">
        <v>813</v>
      </c>
      <c r="P814">
        <v>0</v>
      </c>
      <c r="Q814" t="s">
        <v>25</v>
      </c>
      <c r="R814">
        <f ca="1">DATEDIF(EMP_RAW_Data[[#This Row],[Hire Date]],IF(EMP_RAW_Data[[#This Row],[Exit Date]]="",TODAY(),EMP_RAW_Data[[#This Row],[Exit Date]]),"Y")</f>
        <v>5</v>
      </c>
      <c r="S814" t="str">
        <f>IF(EMP_RAW_Data[[#This Row],[Status]]=1,"Inactive","Active")</f>
        <v>Active</v>
      </c>
    </row>
    <row r="815" spans="1:19" hidden="1" x14ac:dyDescent="0.3">
      <c r="A815" s="1" t="s">
        <v>898</v>
      </c>
      <c r="B815" s="1" t="s">
        <v>42</v>
      </c>
      <c r="C815" s="1" t="s">
        <v>54</v>
      </c>
      <c r="D815" s="1" t="s">
        <v>35</v>
      </c>
      <c r="E815" s="1" t="s">
        <v>21</v>
      </c>
      <c r="F815">
        <v>38</v>
      </c>
      <c r="G815" t="s">
        <v>59</v>
      </c>
      <c r="H815" s="2">
        <v>44036</v>
      </c>
      <c r="I815">
        <v>89390</v>
      </c>
      <c r="J815">
        <v>0</v>
      </c>
      <c r="K815">
        <v>89390</v>
      </c>
      <c r="L815" s="1" t="s">
        <v>23</v>
      </c>
      <c r="M815" s="1" t="s">
        <v>24</v>
      </c>
      <c r="N815" s="2"/>
      <c r="O815">
        <v>814</v>
      </c>
      <c r="P815">
        <v>0</v>
      </c>
      <c r="Q815" t="s">
        <v>25</v>
      </c>
      <c r="R815">
        <f ca="1">DATEDIF(EMP_RAW_Data[[#This Row],[Hire Date]],IF(EMP_RAW_Data[[#This Row],[Exit Date]]="",TODAY(),EMP_RAW_Data[[#This Row],[Exit Date]]),"Y")</f>
        <v>5</v>
      </c>
      <c r="S815" t="str">
        <f>IF(EMP_RAW_Data[[#This Row],[Status]]=1,"Inactive","Active")</f>
        <v>Active</v>
      </c>
    </row>
    <row r="816" spans="1:19" hidden="1" x14ac:dyDescent="0.3">
      <c r="A816" s="1" t="s">
        <v>899</v>
      </c>
      <c r="B816" s="1" t="s">
        <v>164</v>
      </c>
      <c r="C816" s="1" t="s">
        <v>19</v>
      </c>
      <c r="D816" s="1" t="s">
        <v>28</v>
      </c>
      <c r="E816" s="1" t="s">
        <v>29</v>
      </c>
      <c r="F816">
        <v>41</v>
      </c>
      <c r="G816" t="s">
        <v>59</v>
      </c>
      <c r="H816" s="2">
        <v>43013</v>
      </c>
      <c r="I816">
        <v>67468</v>
      </c>
      <c r="J816">
        <v>0</v>
      </c>
      <c r="K816">
        <v>67468</v>
      </c>
      <c r="L816" s="1" t="s">
        <v>23</v>
      </c>
      <c r="M816" s="1" t="s">
        <v>52</v>
      </c>
      <c r="N816" s="2"/>
      <c r="O816">
        <v>815</v>
      </c>
      <c r="P816">
        <v>0</v>
      </c>
      <c r="Q816" t="s">
        <v>25</v>
      </c>
      <c r="R816">
        <f ca="1">DATEDIF(EMP_RAW_Data[[#This Row],[Hire Date]],IF(EMP_RAW_Data[[#This Row],[Exit Date]]="",TODAY(),EMP_RAW_Data[[#This Row],[Exit Date]]),"Y")</f>
        <v>8</v>
      </c>
      <c r="S816" t="str">
        <f>IF(EMP_RAW_Data[[#This Row],[Status]]=1,"Inactive","Active")</f>
        <v>Active</v>
      </c>
    </row>
    <row r="817" spans="1:19" hidden="1" x14ac:dyDescent="0.3">
      <c r="A817" s="1" t="s">
        <v>900</v>
      </c>
      <c r="B817" s="1" t="s">
        <v>89</v>
      </c>
      <c r="C817" s="1" t="s">
        <v>62</v>
      </c>
      <c r="D817" s="1" t="s">
        <v>28</v>
      </c>
      <c r="E817" s="1" t="s">
        <v>21</v>
      </c>
      <c r="F817">
        <v>49</v>
      </c>
      <c r="G817" t="s">
        <v>36</v>
      </c>
      <c r="H817" s="2">
        <v>42441</v>
      </c>
      <c r="I817">
        <v>100810</v>
      </c>
      <c r="J817">
        <v>0.12</v>
      </c>
      <c r="K817">
        <v>112907.2</v>
      </c>
      <c r="L817" s="1" t="s">
        <v>77</v>
      </c>
      <c r="M817" s="1" t="s">
        <v>81</v>
      </c>
      <c r="N817" s="2"/>
      <c r="O817">
        <v>816</v>
      </c>
      <c r="P817">
        <v>0</v>
      </c>
      <c r="Q817" t="s">
        <v>25</v>
      </c>
      <c r="R817">
        <f ca="1">DATEDIF(EMP_RAW_Data[[#This Row],[Hire Date]],IF(EMP_RAW_Data[[#This Row],[Exit Date]]="",TODAY(),EMP_RAW_Data[[#This Row],[Exit Date]]),"Y")</f>
        <v>10</v>
      </c>
      <c r="S817" t="str">
        <f>IF(EMP_RAW_Data[[#This Row],[Status]]=1,"Inactive","Active")</f>
        <v>Active</v>
      </c>
    </row>
    <row r="818" spans="1:19" hidden="1" x14ac:dyDescent="0.3">
      <c r="A818" s="1" t="s">
        <v>901</v>
      </c>
      <c r="B818" s="1" t="s">
        <v>42</v>
      </c>
      <c r="C818" s="1" t="s">
        <v>34</v>
      </c>
      <c r="D818" s="1" t="s">
        <v>28</v>
      </c>
      <c r="E818" s="1" t="s">
        <v>21</v>
      </c>
      <c r="F818">
        <v>35</v>
      </c>
      <c r="G818" t="s">
        <v>59</v>
      </c>
      <c r="H818" s="2">
        <v>43542</v>
      </c>
      <c r="I818">
        <v>74779</v>
      </c>
      <c r="J818">
        <v>0</v>
      </c>
      <c r="K818">
        <v>74779</v>
      </c>
      <c r="L818" s="1" t="s">
        <v>23</v>
      </c>
      <c r="M818" s="1" t="s">
        <v>43</v>
      </c>
      <c r="N818" s="2"/>
      <c r="O818">
        <v>817</v>
      </c>
      <c r="P818">
        <v>0</v>
      </c>
      <c r="Q818" t="s">
        <v>25</v>
      </c>
      <c r="R818">
        <f ca="1">DATEDIF(EMP_RAW_Data[[#This Row],[Hire Date]],IF(EMP_RAW_Data[[#This Row],[Exit Date]]="",TODAY(),EMP_RAW_Data[[#This Row],[Exit Date]]),"Y")</f>
        <v>6</v>
      </c>
      <c r="S818" t="str">
        <f>IF(EMP_RAW_Data[[#This Row],[Status]]=1,"Inactive","Active")</f>
        <v>Active</v>
      </c>
    </row>
    <row r="819" spans="1:19" hidden="1" x14ac:dyDescent="0.3">
      <c r="A819" s="1" t="s">
        <v>902</v>
      </c>
      <c r="B819" s="1" t="s">
        <v>166</v>
      </c>
      <c r="C819" s="1" t="s">
        <v>19</v>
      </c>
      <c r="D819" s="1" t="s">
        <v>47</v>
      </c>
      <c r="E819" s="1" t="s">
        <v>21</v>
      </c>
      <c r="F819">
        <v>29</v>
      </c>
      <c r="G819" t="s">
        <v>40</v>
      </c>
      <c r="H819" s="2">
        <v>43048</v>
      </c>
      <c r="I819">
        <v>63985</v>
      </c>
      <c r="J819">
        <v>0</v>
      </c>
      <c r="K819">
        <v>63985</v>
      </c>
      <c r="L819" s="1" t="s">
        <v>23</v>
      </c>
      <c r="M819" s="1" t="s">
        <v>52</v>
      </c>
      <c r="N819" s="2"/>
      <c r="O819">
        <v>818</v>
      </c>
      <c r="P819">
        <v>0</v>
      </c>
      <c r="Q819" t="s">
        <v>25</v>
      </c>
      <c r="R819">
        <f ca="1">DATEDIF(EMP_RAW_Data[[#This Row],[Hire Date]],IF(EMP_RAW_Data[[#This Row],[Exit Date]]="",TODAY(),EMP_RAW_Data[[#This Row],[Exit Date]]),"Y")</f>
        <v>8</v>
      </c>
      <c r="S819" t="str">
        <f>IF(EMP_RAW_Data[[#This Row],[Status]]=1,"Inactive","Active")</f>
        <v>Active</v>
      </c>
    </row>
    <row r="820" spans="1:19" hidden="1" x14ac:dyDescent="0.3">
      <c r="A820" s="1" t="s">
        <v>903</v>
      </c>
      <c r="B820" s="1" t="s">
        <v>230</v>
      </c>
      <c r="C820" s="1" t="s">
        <v>19</v>
      </c>
      <c r="D820" s="1" t="s">
        <v>28</v>
      </c>
      <c r="E820" s="1" t="s">
        <v>21</v>
      </c>
      <c r="F820">
        <v>64</v>
      </c>
      <c r="G820" t="s">
        <v>22</v>
      </c>
      <c r="H820" s="2">
        <v>38176</v>
      </c>
      <c r="I820">
        <v>77903</v>
      </c>
      <c r="J820">
        <v>0</v>
      </c>
      <c r="K820">
        <v>77903</v>
      </c>
      <c r="L820" s="1" t="s">
        <v>23</v>
      </c>
      <c r="M820" s="1" t="s">
        <v>24</v>
      </c>
      <c r="N820" s="2"/>
      <c r="O820">
        <v>819</v>
      </c>
      <c r="P820">
        <v>0</v>
      </c>
      <c r="Q820" t="s">
        <v>25</v>
      </c>
      <c r="R820">
        <f ca="1">DATEDIF(EMP_RAW_Data[[#This Row],[Hire Date]],IF(EMP_RAW_Data[[#This Row],[Exit Date]]="",TODAY(),EMP_RAW_Data[[#This Row],[Exit Date]]),"Y")</f>
        <v>21</v>
      </c>
      <c r="S820" t="str">
        <f>IF(EMP_RAW_Data[[#This Row],[Status]]=1,"Inactive","Active")</f>
        <v>Active</v>
      </c>
    </row>
    <row r="821" spans="1:19" hidden="1" x14ac:dyDescent="0.3">
      <c r="A821" s="1" t="s">
        <v>904</v>
      </c>
      <c r="B821" s="1" t="s">
        <v>33</v>
      </c>
      <c r="C821" s="1" t="s">
        <v>69</v>
      </c>
      <c r="D821" s="1" t="s">
        <v>47</v>
      </c>
      <c r="E821" s="1" t="s">
        <v>29</v>
      </c>
      <c r="F821">
        <v>33</v>
      </c>
      <c r="G821" t="s">
        <v>40</v>
      </c>
      <c r="H821" s="2">
        <v>42898</v>
      </c>
      <c r="I821">
        <v>164396</v>
      </c>
      <c r="J821">
        <v>0.28999999999999998</v>
      </c>
      <c r="K821">
        <v>212070.84</v>
      </c>
      <c r="L821" s="1" t="s">
        <v>23</v>
      </c>
      <c r="M821" s="1" t="s">
        <v>74</v>
      </c>
      <c r="N821" s="2"/>
      <c r="O821">
        <v>820</v>
      </c>
      <c r="P821">
        <v>0</v>
      </c>
      <c r="Q821" t="s">
        <v>25</v>
      </c>
      <c r="R821">
        <f ca="1">DATEDIF(EMP_RAW_Data[[#This Row],[Hire Date]],IF(EMP_RAW_Data[[#This Row],[Exit Date]]="",TODAY(),EMP_RAW_Data[[#This Row],[Exit Date]]),"Y")</f>
        <v>8</v>
      </c>
      <c r="S821" t="str">
        <f>IF(EMP_RAW_Data[[#This Row],[Status]]=1,"Inactive","Active")</f>
        <v>Active</v>
      </c>
    </row>
    <row r="822" spans="1:19" hidden="1" x14ac:dyDescent="0.3">
      <c r="A822" s="1" t="s">
        <v>905</v>
      </c>
      <c r="B822" s="1" t="s">
        <v>267</v>
      </c>
      <c r="C822" s="1" t="s">
        <v>19</v>
      </c>
      <c r="D822" s="1" t="s">
        <v>47</v>
      </c>
      <c r="E822" s="1" t="s">
        <v>29</v>
      </c>
      <c r="F822">
        <v>29</v>
      </c>
      <c r="G822" t="s">
        <v>40</v>
      </c>
      <c r="H822" s="2">
        <v>44375</v>
      </c>
      <c r="I822">
        <v>71234</v>
      </c>
      <c r="J822">
        <v>0</v>
      </c>
      <c r="K822">
        <v>71234</v>
      </c>
      <c r="L822" s="1" t="s">
        <v>23</v>
      </c>
      <c r="M822" s="1" t="s">
        <v>24</v>
      </c>
      <c r="N822" s="2"/>
      <c r="O822">
        <v>821</v>
      </c>
      <c r="P822">
        <v>0</v>
      </c>
      <c r="Q822" t="s">
        <v>25</v>
      </c>
      <c r="R822">
        <f ca="1">DATEDIF(EMP_RAW_Data[[#This Row],[Hire Date]],IF(EMP_RAW_Data[[#This Row],[Exit Date]]="",TODAY(),EMP_RAW_Data[[#This Row],[Exit Date]]),"Y")</f>
        <v>4</v>
      </c>
      <c r="S822" t="str">
        <f>IF(EMP_RAW_Data[[#This Row],[Status]]=1,"Inactive","Active")</f>
        <v>Active</v>
      </c>
    </row>
    <row r="823" spans="1:19" hidden="1" x14ac:dyDescent="0.3">
      <c r="A823" s="1" t="s">
        <v>906</v>
      </c>
      <c r="B823" s="1" t="s">
        <v>49</v>
      </c>
      <c r="C823" s="1" t="s">
        <v>34</v>
      </c>
      <c r="D823" s="1" t="s">
        <v>47</v>
      </c>
      <c r="E823" s="1" t="s">
        <v>29</v>
      </c>
      <c r="F823">
        <v>63</v>
      </c>
      <c r="G823" t="s">
        <v>22</v>
      </c>
      <c r="H823" s="2">
        <v>38096</v>
      </c>
      <c r="I823">
        <v>122487</v>
      </c>
      <c r="J823">
        <v>0.08</v>
      </c>
      <c r="K823">
        <v>132285.96</v>
      </c>
      <c r="L823" s="1" t="s">
        <v>30</v>
      </c>
      <c r="M823" s="1" t="s">
        <v>65</v>
      </c>
      <c r="N823" s="2"/>
      <c r="O823">
        <v>822</v>
      </c>
      <c r="P823">
        <v>0</v>
      </c>
      <c r="Q823" t="s">
        <v>25</v>
      </c>
      <c r="R823">
        <f ca="1">DATEDIF(EMP_RAW_Data[[#This Row],[Hire Date]],IF(EMP_RAW_Data[[#This Row],[Exit Date]]="",TODAY(),EMP_RAW_Data[[#This Row],[Exit Date]]),"Y")</f>
        <v>21</v>
      </c>
      <c r="S823" t="str">
        <f>IF(EMP_RAW_Data[[#This Row],[Status]]=1,"Inactive","Active")</f>
        <v>Active</v>
      </c>
    </row>
    <row r="824" spans="1:19" hidden="1" x14ac:dyDescent="0.3">
      <c r="A824" s="1" t="s">
        <v>907</v>
      </c>
      <c r="B824" s="1" t="s">
        <v>49</v>
      </c>
      <c r="C824" s="1" t="s">
        <v>58</v>
      </c>
      <c r="D824" s="1" t="s">
        <v>35</v>
      </c>
      <c r="E824" s="1" t="s">
        <v>21</v>
      </c>
      <c r="F824">
        <v>32</v>
      </c>
      <c r="G824" t="s">
        <v>40</v>
      </c>
      <c r="H824" s="2">
        <v>42738</v>
      </c>
      <c r="I824">
        <v>101870</v>
      </c>
      <c r="J824">
        <v>0.1</v>
      </c>
      <c r="K824">
        <v>112057</v>
      </c>
      <c r="L824" s="1" t="s">
        <v>23</v>
      </c>
      <c r="M824" s="1" t="s">
        <v>43</v>
      </c>
      <c r="N824" s="2"/>
      <c r="O824">
        <v>823</v>
      </c>
      <c r="P824">
        <v>0</v>
      </c>
      <c r="Q824" t="s">
        <v>25</v>
      </c>
      <c r="R824">
        <f ca="1">DATEDIF(EMP_RAW_Data[[#This Row],[Hire Date]],IF(EMP_RAW_Data[[#This Row],[Exit Date]]="",TODAY(),EMP_RAW_Data[[#This Row],[Exit Date]]),"Y")</f>
        <v>9</v>
      </c>
      <c r="S824" t="str">
        <f>IF(EMP_RAW_Data[[#This Row],[Status]]=1,"Inactive","Active")</f>
        <v>Active</v>
      </c>
    </row>
    <row r="825" spans="1:19" hidden="1" x14ac:dyDescent="0.3">
      <c r="A825" s="1" t="s">
        <v>908</v>
      </c>
      <c r="B825" s="1" t="s">
        <v>208</v>
      </c>
      <c r="C825" s="1" t="s">
        <v>19</v>
      </c>
      <c r="D825" s="1" t="s">
        <v>20</v>
      </c>
      <c r="E825" s="1" t="s">
        <v>29</v>
      </c>
      <c r="F825">
        <v>64</v>
      </c>
      <c r="G825" t="s">
        <v>22</v>
      </c>
      <c r="H825" s="2">
        <v>44009</v>
      </c>
      <c r="I825">
        <v>40316</v>
      </c>
      <c r="J825">
        <v>0</v>
      </c>
      <c r="K825">
        <v>40316</v>
      </c>
      <c r="L825" s="1" t="s">
        <v>77</v>
      </c>
      <c r="M825" s="1" t="s">
        <v>78</v>
      </c>
      <c r="N825" s="2"/>
      <c r="O825">
        <v>824</v>
      </c>
      <c r="P825">
        <v>0</v>
      </c>
      <c r="Q825" t="s">
        <v>25</v>
      </c>
      <c r="R825">
        <f ca="1">DATEDIF(EMP_RAW_Data[[#This Row],[Hire Date]],IF(EMP_RAW_Data[[#This Row],[Exit Date]]="",TODAY(),EMP_RAW_Data[[#This Row],[Exit Date]]),"Y")</f>
        <v>5</v>
      </c>
      <c r="S825" t="str">
        <f>IF(EMP_RAW_Data[[#This Row],[Status]]=1,"Inactive","Active")</f>
        <v>Active</v>
      </c>
    </row>
    <row r="826" spans="1:19" hidden="1" x14ac:dyDescent="0.3">
      <c r="A826" s="1" t="s">
        <v>909</v>
      </c>
      <c r="B826" s="1" t="s">
        <v>49</v>
      </c>
      <c r="C826" s="1" t="s">
        <v>19</v>
      </c>
      <c r="D826" s="1" t="s">
        <v>20</v>
      </c>
      <c r="E826" s="1" t="s">
        <v>21</v>
      </c>
      <c r="F826">
        <v>55</v>
      </c>
      <c r="G826" t="s">
        <v>22</v>
      </c>
      <c r="H826" s="2">
        <v>38391</v>
      </c>
      <c r="I826">
        <v>115145</v>
      </c>
      <c r="J826">
        <v>0.05</v>
      </c>
      <c r="K826">
        <v>120902.25</v>
      </c>
      <c r="L826" s="1" t="s">
        <v>30</v>
      </c>
      <c r="M826" s="1" t="s">
        <v>31</v>
      </c>
      <c r="N826" s="2"/>
      <c r="O826">
        <v>825</v>
      </c>
      <c r="P826">
        <v>0</v>
      </c>
      <c r="Q826" t="s">
        <v>25</v>
      </c>
      <c r="R826">
        <f ca="1">DATEDIF(EMP_RAW_Data[[#This Row],[Hire Date]],IF(EMP_RAW_Data[[#This Row],[Exit Date]]="",TODAY(),EMP_RAW_Data[[#This Row],[Exit Date]]),"Y")</f>
        <v>21</v>
      </c>
      <c r="S826" t="str">
        <f>IF(EMP_RAW_Data[[#This Row],[Status]]=1,"Inactive","Active")</f>
        <v>Active</v>
      </c>
    </row>
    <row r="827" spans="1:19" hidden="1" x14ac:dyDescent="0.3">
      <c r="A827" s="1" t="s">
        <v>910</v>
      </c>
      <c r="B827" s="1" t="s">
        <v>142</v>
      </c>
      <c r="C827" s="1" t="s">
        <v>19</v>
      </c>
      <c r="D827" s="1" t="s">
        <v>28</v>
      </c>
      <c r="E827" s="1" t="s">
        <v>21</v>
      </c>
      <c r="F827">
        <v>43</v>
      </c>
      <c r="G827" t="s">
        <v>59</v>
      </c>
      <c r="H827" s="2">
        <v>39885</v>
      </c>
      <c r="I827">
        <v>62335</v>
      </c>
      <c r="J827">
        <v>0</v>
      </c>
      <c r="K827">
        <v>62335</v>
      </c>
      <c r="L827" s="1" t="s">
        <v>77</v>
      </c>
      <c r="M827" s="1" t="s">
        <v>78</v>
      </c>
      <c r="N827" s="2"/>
      <c r="O827">
        <v>826</v>
      </c>
      <c r="P827">
        <v>0</v>
      </c>
      <c r="Q827" t="s">
        <v>25</v>
      </c>
      <c r="R827">
        <f ca="1">DATEDIF(EMP_RAW_Data[[#This Row],[Hire Date]],IF(EMP_RAW_Data[[#This Row],[Exit Date]]="",TODAY(),EMP_RAW_Data[[#This Row],[Exit Date]]),"Y")</f>
        <v>17</v>
      </c>
      <c r="S827" t="str">
        <f>IF(EMP_RAW_Data[[#This Row],[Status]]=1,"Inactive","Active")</f>
        <v>Active</v>
      </c>
    </row>
    <row r="828" spans="1:19" hidden="1" x14ac:dyDescent="0.3">
      <c r="A828" s="1" t="s">
        <v>911</v>
      </c>
      <c r="B828" s="1" t="s">
        <v>51</v>
      </c>
      <c r="C828" s="1" t="s">
        <v>34</v>
      </c>
      <c r="D828" s="1" t="s">
        <v>28</v>
      </c>
      <c r="E828" s="1" t="s">
        <v>29</v>
      </c>
      <c r="F828">
        <v>56</v>
      </c>
      <c r="G828" t="s">
        <v>22</v>
      </c>
      <c r="H828" s="2">
        <v>38847</v>
      </c>
      <c r="I828">
        <v>41561</v>
      </c>
      <c r="J828">
        <v>0</v>
      </c>
      <c r="K828">
        <v>41561</v>
      </c>
      <c r="L828" s="1" t="s">
        <v>23</v>
      </c>
      <c r="M828" s="1" t="s">
        <v>55</v>
      </c>
      <c r="N828" s="2"/>
      <c r="O828">
        <v>827</v>
      </c>
      <c r="P828">
        <v>0</v>
      </c>
      <c r="Q828" t="s">
        <v>25</v>
      </c>
      <c r="R828">
        <f ca="1">DATEDIF(EMP_RAW_Data[[#This Row],[Hire Date]],IF(EMP_RAW_Data[[#This Row],[Exit Date]]="",TODAY(),EMP_RAW_Data[[#This Row],[Exit Date]]),"Y")</f>
        <v>19</v>
      </c>
      <c r="S828" t="str">
        <f>IF(EMP_RAW_Data[[#This Row],[Status]]=1,"Inactive","Active")</f>
        <v>Active</v>
      </c>
    </row>
    <row r="829" spans="1:19" x14ac:dyDescent="0.3">
      <c r="A829" s="1" t="s">
        <v>912</v>
      </c>
      <c r="B829" s="1" t="s">
        <v>18</v>
      </c>
      <c r="C829" s="1" t="s">
        <v>34</v>
      </c>
      <c r="D829" s="1" t="s">
        <v>35</v>
      </c>
      <c r="E829" s="1" t="s">
        <v>21</v>
      </c>
      <c r="F829">
        <v>37</v>
      </c>
      <c r="G829" t="s">
        <v>59</v>
      </c>
      <c r="H829" s="2">
        <v>40657</v>
      </c>
      <c r="I829">
        <v>131183</v>
      </c>
      <c r="J829">
        <v>0.14000000000000001</v>
      </c>
      <c r="K829">
        <v>149548.62</v>
      </c>
      <c r="L829" s="1" t="s">
        <v>30</v>
      </c>
      <c r="M829" s="1" t="s">
        <v>65</v>
      </c>
      <c r="N829" s="2">
        <v>42445</v>
      </c>
      <c r="O829">
        <v>828</v>
      </c>
      <c r="P829">
        <v>1</v>
      </c>
      <c r="Q829" t="s">
        <v>25</v>
      </c>
      <c r="R829">
        <f ca="1">DATEDIF(EMP_RAW_Data[[#This Row],[Hire Date]],IF(EMP_RAW_Data[[#This Row],[Exit Date]]="",TODAY(),EMP_RAW_Data[[#This Row],[Exit Date]]),"Y")</f>
        <v>4</v>
      </c>
      <c r="S829" t="str">
        <f>IF(EMP_RAW_Data[[#This Row],[Status]]=1,"Inactive","Active")</f>
        <v>Inactive</v>
      </c>
    </row>
    <row r="830" spans="1:19" hidden="1" x14ac:dyDescent="0.3">
      <c r="A830" s="1" t="s">
        <v>913</v>
      </c>
      <c r="B830" s="1" t="s">
        <v>27</v>
      </c>
      <c r="C830" s="1" t="s">
        <v>19</v>
      </c>
      <c r="D830" s="1" t="s">
        <v>28</v>
      </c>
      <c r="E830" s="1" t="s">
        <v>21</v>
      </c>
      <c r="F830">
        <v>45</v>
      </c>
      <c r="G830" t="s">
        <v>36</v>
      </c>
      <c r="H830" s="2">
        <v>37445</v>
      </c>
      <c r="I830">
        <v>92655</v>
      </c>
      <c r="J830">
        <v>0</v>
      </c>
      <c r="K830">
        <v>92655</v>
      </c>
      <c r="L830" s="1" t="s">
        <v>30</v>
      </c>
      <c r="M830" s="1" t="s">
        <v>102</v>
      </c>
      <c r="N830" s="2"/>
      <c r="O830">
        <v>829</v>
      </c>
      <c r="P830">
        <v>0</v>
      </c>
      <c r="Q830" t="s">
        <v>25</v>
      </c>
      <c r="R830">
        <f ca="1">DATEDIF(EMP_RAW_Data[[#This Row],[Hire Date]],IF(EMP_RAW_Data[[#This Row],[Exit Date]]="",TODAY(),EMP_RAW_Data[[#This Row],[Exit Date]]),"Y")</f>
        <v>23</v>
      </c>
      <c r="S830" t="str">
        <f>IF(EMP_RAW_Data[[#This Row],[Status]]=1,"Inactive","Active")</f>
        <v>Active</v>
      </c>
    </row>
    <row r="831" spans="1:19" hidden="1" x14ac:dyDescent="0.3">
      <c r="A831" s="1" t="s">
        <v>914</v>
      </c>
      <c r="B831" s="1" t="s">
        <v>18</v>
      </c>
      <c r="C831" s="1" t="s">
        <v>46</v>
      </c>
      <c r="D831" s="1" t="s">
        <v>28</v>
      </c>
      <c r="E831" s="1" t="s">
        <v>21</v>
      </c>
      <c r="F831">
        <v>49</v>
      </c>
      <c r="G831" t="s">
        <v>36</v>
      </c>
      <c r="H831" s="2">
        <v>35157</v>
      </c>
      <c r="I831">
        <v>157057</v>
      </c>
      <c r="J831">
        <v>0.12</v>
      </c>
      <c r="K831">
        <v>175903.84</v>
      </c>
      <c r="L831" s="1" t="s">
        <v>23</v>
      </c>
      <c r="M831" s="1" t="s">
        <v>52</v>
      </c>
      <c r="N831" s="2"/>
      <c r="O831">
        <v>830</v>
      </c>
      <c r="P831">
        <v>0</v>
      </c>
      <c r="Q831" t="s">
        <v>25</v>
      </c>
      <c r="R831">
        <f ca="1">DATEDIF(EMP_RAW_Data[[#This Row],[Hire Date]],IF(EMP_RAW_Data[[#This Row],[Exit Date]]="",TODAY(),EMP_RAW_Data[[#This Row],[Exit Date]]),"Y")</f>
        <v>29</v>
      </c>
      <c r="S831" t="str">
        <f>IF(EMP_RAW_Data[[#This Row],[Status]]=1,"Inactive","Active")</f>
        <v>Active</v>
      </c>
    </row>
    <row r="832" spans="1:19" hidden="1" x14ac:dyDescent="0.3">
      <c r="A832" s="1" t="s">
        <v>915</v>
      </c>
      <c r="B832" s="1" t="s">
        <v>100</v>
      </c>
      <c r="C832" s="1" t="s">
        <v>19</v>
      </c>
      <c r="D832" s="1" t="s">
        <v>35</v>
      </c>
      <c r="E832" s="1" t="s">
        <v>21</v>
      </c>
      <c r="F832">
        <v>61</v>
      </c>
      <c r="G832" t="s">
        <v>22</v>
      </c>
      <c r="H832" s="2">
        <v>38392</v>
      </c>
      <c r="I832">
        <v>64462</v>
      </c>
      <c r="J832">
        <v>0</v>
      </c>
      <c r="K832">
        <v>64462</v>
      </c>
      <c r="L832" s="1" t="s">
        <v>23</v>
      </c>
      <c r="M832" s="1" t="s">
        <v>37</v>
      </c>
      <c r="N832" s="2"/>
      <c r="O832">
        <v>831</v>
      </c>
      <c r="P832">
        <v>0</v>
      </c>
      <c r="Q832" t="s">
        <v>25</v>
      </c>
      <c r="R832">
        <f ca="1">DATEDIF(EMP_RAW_Data[[#This Row],[Hire Date]],IF(EMP_RAW_Data[[#This Row],[Exit Date]]="",TODAY(),EMP_RAW_Data[[#This Row],[Exit Date]]),"Y")</f>
        <v>21</v>
      </c>
      <c r="S832" t="str">
        <f>IF(EMP_RAW_Data[[#This Row],[Status]]=1,"Inactive","Active")</f>
        <v>Active</v>
      </c>
    </row>
    <row r="833" spans="1:19" hidden="1" x14ac:dyDescent="0.3">
      <c r="A833" s="1" t="s">
        <v>916</v>
      </c>
      <c r="B833" s="1" t="s">
        <v>86</v>
      </c>
      <c r="C833" s="1" t="s">
        <v>62</v>
      </c>
      <c r="D833" s="1" t="s">
        <v>47</v>
      </c>
      <c r="E833" s="1" t="s">
        <v>21</v>
      </c>
      <c r="F833">
        <v>41</v>
      </c>
      <c r="G833" t="s">
        <v>59</v>
      </c>
      <c r="H833" s="2">
        <v>38632</v>
      </c>
      <c r="I833">
        <v>79352</v>
      </c>
      <c r="J833">
        <v>0</v>
      </c>
      <c r="K833">
        <v>79352</v>
      </c>
      <c r="L833" s="1" t="s">
        <v>23</v>
      </c>
      <c r="M833" s="1" t="s">
        <v>24</v>
      </c>
      <c r="N833" s="2"/>
      <c r="O833">
        <v>832</v>
      </c>
      <c r="P833">
        <v>0</v>
      </c>
      <c r="Q833" t="s">
        <v>25</v>
      </c>
      <c r="R833">
        <f ca="1">DATEDIF(EMP_RAW_Data[[#This Row],[Hire Date]],IF(EMP_RAW_Data[[#This Row],[Exit Date]]="",TODAY(),EMP_RAW_Data[[#This Row],[Exit Date]]),"Y")</f>
        <v>20</v>
      </c>
      <c r="S833" t="str">
        <f>IF(EMP_RAW_Data[[#This Row],[Status]]=1,"Inactive","Active")</f>
        <v>Active</v>
      </c>
    </row>
    <row r="834" spans="1:19" hidden="1" x14ac:dyDescent="0.3">
      <c r="A834" s="1" t="s">
        <v>917</v>
      </c>
      <c r="B834" s="1" t="s">
        <v>18</v>
      </c>
      <c r="C834" s="1" t="s">
        <v>69</v>
      </c>
      <c r="D834" s="1" t="s">
        <v>35</v>
      </c>
      <c r="E834" s="1" t="s">
        <v>21</v>
      </c>
      <c r="F834">
        <v>55</v>
      </c>
      <c r="G834" t="s">
        <v>22</v>
      </c>
      <c r="H834" s="2">
        <v>36977</v>
      </c>
      <c r="I834">
        <v>157812</v>
      </c>
      <c r="J834">
        <v>0.11</v>
      </c>
      <c r="K834">
        <v>175171.32</v>
      </c>
      <c r="L834" s="1" t="s">
        <v>23</v>
      </c>
      <c r="M834" s="1" t="s">
        <v>52</v>
      </c>
      <c r="N834" s="2"/>
      <c r="O834">
        <v>833</v>
      </c>
      <c r="P834">
        <v>0</v>
      </c>
      <c r="Q834" t="s">
        <v>25</v>
      </c>
      <c r="R834">
        <f ca="1">DATEDIF(EMP_RAW_Data[[#This Row],[Hire Date]],IF(EMP_RAW_Data[[#This Row],[Exit Date]]="",TODAY(),EMP_RAW_Data[[#This Row],[Exit Date]]),"Y")</f>
        <v>24</v>
      </c>
      <c r="S834" t="str">
        <f>IF(EMP_RAW_Data[[#This Row],[Status]]=1,"Inactive","Active")</f>
        <v>Active</v>
      </c>
    </row>
    <row r="835" spans="1:19" hidden="1" x14ac:dyDescent="0.3">
      <c r="A835" s="1" t="s">
        <v>918</v>
      </c>
      <c r="B835" s="1" t="s">
        <v>86</v>
      </c>
      <c r="C835" s="1" t="s">
        <v>62</v>
      </c>
      <c r="D835" s="1" t="s">
        <v>47</v>
      </c>
      <c r="E835" s="1" t="s">
        <v>29</v>
      </c>
      <c r="F835">
        <v>27</v>
      </c>
      <c r="G835" t="s">
        <v>40</v>
      </c>
      <c r="H835" s="2">
        <v>43354</v>
      </c>
      <c r="I835">
        <v>80745</v>
      </c>
      <c r="J835">
        <v>0</v>
      </c>
      <c r="K835">
        <v>80745</v>
      </c>
      <c r="L835" s="1" t="s">
        <v>23</v>
      </c>
      <c r="M835" s="1" t="s">
        <v>37</v>
      </c>
      <c r="N835" s="2"/>
      <c r="O835">
        <v>834</v>
      </c>
      <c r="P835">
        <v>0</v>
      </c>
      <c r="Q835" t="s">
        <v>25</v>
      </c>
      <c r="R835">
        <f ca="1">DATEDIF(EMP_RAW_Data[[#This Row],[Hire Date]],IF(EMP_RAW_Data[[#This Row],[Exit Date]]="",TODAY(),EMP_RAW_Data[[#This Row],[Exit Date]]),"Y")</f>
        <v>7</v>
      </c>
      <c r="S835" t="str">
        <f>IF(EMP_RAW_Data[[#This Row],[Status]]=1,"Inactive","Active")</f>
        <v>Active</v>
      </c>
    </row>
    <row r="836" spans="1:19" x14ac:dyDescent="0.3">
      <c r="A836" s="1" t="s">
        <v>919</v>
      </c>
      <c r="B836" s="1" t="s">
        <v>192</v>
      </c>
      <c r="C836" s="1" t="s">
        <v>19</v>
      </c>
      <c r="D836" s="1" t="s">
        <v>28</v>
      </c>
      <c r="E836" s="1" t="s">
        <v>21</v>
      </c>
      <c r="F836">
        <v>57</v>
      </c>
      <c r="G836" t="s">
        <v>22</v>
      </c>
      <c r="H836" s="2">
        <v>35113</v>
      </c>
      <c r="I836">
        <v>75354</v>
      </c>
      <c r="J836">
        <v>0</v>
      </c>
      <c r="K836">
        <v>75354</v>
      </c>
      <c r="L836" s="1" t="s">
        <v>23</v>
      </c>
      <c r="M836" s="1" t="s">
        <v>55</v>
      </c>
      <c r="N836" s="2">
        <v>35413</v>
      </c>
      <c r="O836">
        <v>835</v>
      </c>
      <c r="P836">
        <v>1</v>
      </c>
      <c r="Q836" t="s">
        <v>25</v>
      </c>
      <c r="R836">
        <f ca="1">DATEDIF(EMP_RAW_Data[[#This Row],[Hire Date]],IF(EMP_RAW_Data[[#This Row],[Exit Date]]="",TODAY(),EMP_RAW_Data[[#This Row],[Exit Date]]),"Y")</f>
        <v>0</v>
      </c>
      <c r="S836" t="str">
        <f>IF(EMP_RAW_Data[[#This Row],[Status]]=1,"Inactive","Active")</f>
        <v>Inactive</v>
      </c>
    </row>
    <row r="837" spans="1:19" hidden="1" x14ac:dyDescent="0.3">
      <c r="A837" s="1" t="s">
        <v>920</v>
      </c>
      <c r="B837" s="1" t="s">
        <v>89</v>
      </c>
      <c r="C837" s="1" t="s">
        <v>62</v>
      </c>
      <c r="D837" s="1" t="s">
        <v>20</v>
      </c>
      <c r="E837" s="1" t="s">
        <v>29</v>
      </c>
      <c r="F837">
        <v>56</v>
      </c>
      <c r="G837" t="s">
        <v>22</v>
      </c>
      <c r="H837" s="2">
        <v>43363</v>
      </c>
      <c r="I837">
        <v>78938</v>
      </c>
      <c r="J837">
        <v>0.14000000000000001</v>
      </c>
      <c r="K837">
        <v>89989.32</v>
      </c>
      <c r="L837" s="1" t="s">
        <v>23</v>
      </c>
      <c r="M837" s="1" t="s">
        <v>43</v>
      </c>
      <c r="N837" s="2"/>
      <c r="O837">
        <v>836</v>
      </c>
      <c r="P837">
        <v>0</v>
      </c>
      <c r="Q837" t="s">
        <v>25</v>
      </c>
      <c r="R837">
        <f ca="1">DATEDIF(EMP_RAW_Data[[#This Row],[Hire Date]],IF(EMP_RAW_Data[[#This Row],[Exit Date]]="",TODAY(),EMP_RAW_Data[[#This Row],[Exit Date]]),"Y")</f>
        <v>7</v>
      </c>
      <c r="S837" t="str">
        <f>IF(EMP_RAW_Data[[#This Row],[Status]]=1,"Inactive","Active")</f>
        <v>Active</v>
      </c>
    </row>
    <row r="838" spans="1:19" hidden="1" x14ac:dyDescent="0.3">
      <c r="A838" s="1" t="s">
        <v>921</v>
      </c>
      <c r="B838" s="1" t="s">
        <v>128</v>
      </c>
      <c r="C838" s="1" t="s">
        <v>62</v>
      </c>
      <c r="D838" s="1" t="s">
        <v>47</v>
      </c>
      <c r="E838" s="1" t="s">
        <v>29</v>
      </c>
      <c r="F838">
        <v>59</v>
      </c>
      <c r="G838" t="s">
        <v>22</v>
      </c>
      <c r="H838" s="2">
        <v>39701</v>
      </c>
      <c r="I838">
        <v>96313</v>
      </c>
      <c r="J838">
        <v>0</v>
      </c>
      <c r="K838">
        <v>96313</v>
      </c>
      <c r="L838" s="1" t="s">
        <v>23</v>
      </c>
      <c r="M838" s="1" t="s">
        <v>55</v>
      </c>
      <c r="N838" s="2"/>
      <c r="O838">
        <v>837</v>
      </c>
      <c r="P838">
        <v>0</v>
      </c>
      <c r="Q838" t="s">
        <v>25</v>
      </c>
      <c r="R838">
        <f ca="1">DATEDIF(EMP_RAW_Data[[#This Row],[Hire Date]],IF(EMP_RAW_Data[[#This Row],[Exit Date]]="",TODAY(),EMP_RAW_Data[[#This Row],[Exit Date]]),"Y")</f>
        <v>17</v>
      </c>
      <c r="S838" t="str">
        <f>IF(EMP_RAW_Data[[#This Row],[Status]]=1,"Inactive","Active")</f>
        <v>Active</v>
      </c>
    </row>
    <row r="839" spans="1:19" hidden="1" x14ac:dyDescent="0.3">
      <c r="A839" s="1" t="s">
        <v>922</v>
      </c>
      <c r="B839" s="1" t="s">
        <v>33</v>
      </c>
      <c r="C839" s="1" t="s">
        <v>62</v>
      </c>
      <c r="D839" s="1" t="s">
        <v>35</v>
      </c>
      <c r="E839" s="1" t="s">
        <v>29</v>
      </c>
      <c r="F839">
        <v>45</v>
      </c>
      <c r="G839" t="s">
        <v>36</v>
      </c>
      <c r="H839" s="2">
        <v>40511</v>
      </c>
      <c r="I839">
        <v>153767</v>
      </c>
      <c r="J839">
        <v>0.27</v>
      </c>
      <c r="K839">
        <v>195284.09</v>
      </c>
      <c r="L839" s="1" t="s">
        <v>23</v>
      </c>
      <c r="M839" s="1" t="s">
        <v>43</v>
      </c>
      <c r="N839" s="2"/>
      <c r="O839">
        <v>838</v>
      </c>
      <c r="P839">
        <v>0</v>
      </c>
      <c r="Q839" t="s">
        <v>25</v>
      </c>
      <c r="R839">
        <f ca="1">DATEDIF(EMP_RAW_Data[[#This Row],[Hire Date]],IF(EMP_RAW_Data[[#This Row],[Exit Date]]="",TODAY(),EMP_RAW_Data[[#This Row],[Exit Date]]),"Y")</f>
        <v>15</v>
      </c>
      <c r="S839" t="str">
        <f>IF(EMP_RAW_Data[[#This Row],[Status]]=1,"Inactive","Active")</f>
        <v>Active</v>
      </c>
    </row>
    <row r="840" spans="1:19" hidden="1" x14ac:dyDescent="0.3">
      <c r="A840" s="1" t="s">
        <v>923</v>
      </c>
      <c r="B840" s="1" t="s">
        <v>49</v>
      </c>
      <c r="C840" s="1" t="s">
        <v>69</v>
      </c>
      <c r="D840" s="1" t="s">
        <v>20</v>
      </c>
      <c r="E840" s="1" t="s">
        <v>21</v>
      </c>
      <c r="F840">
        <v>42</v>
      </c>
      <c r="G840" t="s">
        <v>59</v>
      </c>
      <c r="H840" s="2">
        <v>42266</v>
      </c>
      <c r="I840">
        <v>103423</v>
      </c>
      <c r="J840">
        <v>0.06</v>
      </c>
      <c r="K840">
        <v>109628.38</v>
      </c>
      <c r="L840" s="1" t="s">
        <v>23</v>
      </c>
      <c r="M840" s="1" t="s">
        <v>74</v>
      </c>
      <c r="N840" s="2"/>
      <c r="O840">
        <v>839</v>
      </c>
      <c r="P840">
        <v>0</v>
      </c>
      <c r="Q840" t="s">
        <v>25</v>
      </c>
      <c r="R840">
        <f ca="1">DATEDIF(EMP_RAW_Data[[#This Row],[Hire Date]],IF(EMP_RAW_Data[[#This Row],[Exit Date]]="",TODAY(),EMP_RAW_Data[[#This Row],[Exit Date]]),"Y")</f>
        <v>10</v>
      </c>
      <c r="S840" t="str">
        <f>IF(EMP_RAW_Data[[#This Row],[Status]]=1,"Inactive","Active")</f>
        <v>Active</v>
      </c>
    </row>
    <row r="841" spans="1:19" hidden="1" x14ac:dyDescent="0.3">
      <c r="A841" s="1" t="s">
        <v>924</v>
      </c>
      <c r="B841" s="1" t="s">
        <v>61</v>
      </c>
      <c r="C841" s="1" t="s">
        <v>62</v>
      </c>
      <c r="D841" s="1" t="s">
        <v>47</v>
      </c>
      <c r="E841" s="1" t="s">
        <v>21</v>
      </c>
      <c r="F841">
        <v>25</v>
      </c>
      <c r="G841" t="s">
        <v>40</v>
      </c>
      <c r="H841" s="2">
        <v>44370</v>
      </c>
      <c r="I841">
        <v>86464</v>
      </c>
      <c r="J841">
        <v>0</v>
      </c>
      <c r="K841">
        <v>86464</v>
      </c>
      <c r="L841" s="1" t="s">
        <v>30</v>
      </c>
      <c r="M841" s="1" t="s">
        <v>65</v>
      </c>
      <c r="N841" s="2"/>
      <c r="O841">
        <v>840</v>
      </c>
      <c r="P841">
        <v>0</v>
      </c>
      <c r="Q841" t="s">
        <v>25</v>
      </c>
      <c r="R841">
        <f ca="1">DATEDIF(EMP_RAW_Data[[#This Row],[Hire Date]],IF(EMP_RAW_Data[[#This Row],[Exit Date]]="",TODAY(),EMP_RAW_Data[[#This Row],[Exit Date]]),"Y")</f>
        <v>4</v>
      </c>
      <c r="S841" t="str">
        <f>IF(EMP_RAW_Data[[#This Row],[Status]]=1,"Inactive","Active")</f>
        <v>Active</v>
      </c>
    </row>
    <row r="842" spans="1:19" hidden="1" x14ac:dyDescent="0.3">
      <c r="A842" s="1" t="s">
        <v>925</v>
      </c>
      <c r="B842" s="1" t="s">
        <v>61</v>
      </c>
      <c r="C842" s="1" t="s">
        <v>62</v>
      </c>
      <c r="D842" s="1" t="s">
        <v>47</v>
      </c>
      <c r="E842" s="1" t="s">
        <v>21</v>
      </c>
      <c r="F842">
        <v>29</v>
      </c>
      <c r="G842" t="s">
        <v>40</v>
      </c>
      <c r="H842" s="2">
        <v>43114</v>
      </c>
      <c r="I842">
        <v>80516</v>
      </c>
      <c r="J842">
        <v>0</v>
      </c>
      <c r="K842">
        <v>80516</v>
      </c>
      <c r="L842" s="1" t="s">
        <v>77</v>
      </c>
      <c r="M842" s="1" t="s">
        <v>148</v>
      </c>
      <c r="N842" s="2"/>
      <c r="O842">
        <v>841</v>
      </c>
      <c r="P842">
        <v>0</v>
      </c>
      <c r="Q842" t="s">
        <v>25</v>
      </c>
      <c r="R842">
        <f ca="1">DATEDIF(EMP_RAW_Data[[#This Row],[Hire Date]],IF(EMP_RAW_Data[[#This Row],[Exit Date]]="",TODAY(),EMP_RAW_Data[[#This Row],[Exit Date]]),"Y")</f>
        <v>8</v>
      </c>
      <c r="S842" t="str">
        <f>IF(EMP_RAW_Data[[#This Row],[Status]]=1,"Inactive","Active")</f>
        <v>Active</v>
      </c>
    </row>
    <row r="843" spans="1:19" hidden="1" x14ac:dyDescent="0.3">
      <c r="A843" s="1" t="s">
        <v>926</v>
      </c>
      <c r="B843" s="1" t="s">
        <v>49</v>
      </c>
      <c r="C843" s="1" t="s">
        <v>58</v>
      </c>
      <c r="D843" s="1" t="s">
        <v>35</v>
      </c>
      <c r="E843" s="1" t="s">
        <v>21</v>
      </c>
      <c r="F843">
        <v>33</v>
      </c>
      <c r="G843" t="s">
        <v>40</v>
      </c>
      <c r="H843" s="2">
        <v>41507</v>
      </c>
      <c r="I843">
        <v>105390</v>
      </c>
      <c r="J843">
        <v>0.06</v>
      </c>
      <c r="K843">
        <v>111713.4</v>
      </c>
      <c r="L843" s="1" t="s">
        <v>23</v>
      </c>
      <c r="M843" s="1" t="s">
        <v>74</v>
      </c>
      <c r="N843" s="2"/>
      <c r="O843">
        <v>842</v>
      </c>
      <c r="P843">
        <v>0</v>
      </c>
      <c r="Q843" t="s">
        <v>25</v>
      </c>
      <c r="R843">
        <f ca="1">DATEDIF(EMP_RAW_Data[[#This Row],[Hire Date]],IF(EMP_RAW_Data[[#This Row],[Exit Date]]="",TODAY(),EMP_RAW_Data[[#This Row],[Exit Date]]),"Y")</f>
        <v>12</v>
      </c>
      <c r="S843" t="str">
        <f>IF(EMP_RAW_Data[[#This Row],[Status]]=1,"Inactive","Active")</f>
        <v>Active</v>
      </c>
    </row>
    <row r="844" spans="1:19" hidden="1" x14ac:dyDescent="0.3">
      <c r="A844" s="1" t="s">
        <v>927</v>
      </c>
      <c r="B844" s="1" t="s">
        <v>142</v>
      </c>
      <c r="C844" s="1" t="s">
        <v>19</v>
      </c>
      <c r="D844" s="1" t="s">
        <v>28</v>
      </c>
      <c r="E844" s="1" t="s">
        <v>21</v>
      </c>
      <c r="F844">
        <v>50</v>
      </c>
      <c r="G844" t="s">
        <v>36</v>
      </c>
      <c r="H844" s="2">
        <v>44445</v>
      </c>
      <c r="I844">
        <v>83418</v>
      </c>
      <c r="J844">
        <v>0</v>
      </c>
      <c r="K844">
        <v>83418</v>
      </c>
      <c r="L844" s="1" t="s">
        <v>30</v>
      </c>
      <c r="M844" s="1" t="s">
        <v>65</v>
      </c>
      <c r="N844" s="2"/>
      <c r="O844">
        <v>843</v>
      </c>
      <c r="P844">
        <v>0</v>
      </c>
      <c r="Q844" t="s">
        <v>25</v>
      </c>
      <c r="R844">
        <f ca="1">DATEDIF(EMP_RAW_Data[[#This Row],[Hire Date]],IF(EMP_RAW_Data[[#This Row],[Exit Date]]="",TODAY(),EMP_RAW_Data[[#This Row],[Exit Date]]),"Y")</f>
        <v>4</v>
      </c>
      <c r="S844" t="str">
        <f>IF(EMP_RAW_Data[[#This Row],[Status]]=1,"Inactive","Active")</f>
        <v>Active</v>
      </c>
    </row>
    <row r="845" spans="1:19" hidden="1" x14ac:dyDescent="0.3">
      <c r="A845" s="1" t="s">
        <v>928</v>
      </c>
      <c r="B845" s="1" t="s">
        <v>230</v>
      </c>
      <c r="C845" s="1" t="s">
        <v>19</v>
      </c>
      <c r="D845" s="1" t="s">
        <v>35</v>
      </c>
      <c r="E845" s="1" t="s">
        <v>21</v>
      </c>
      <c r="F845">
        <v>45</v>
      </c>
      <c r="G845" t="s">
        <v>36</v>
      </c>
      <c r="H845" s="2">
        <v>43042</v>
      </c>
      <c r="I845">
        <v>66660</v>
      </c>
      <c r="J845">
        <v>0</v>
      </c>
      <c r="K845">
        <v>66660</v>
      </c>
      <c r="L845" s="1" t="s">
        <v>23</v>
      </c>
      <c r="M845" s="1" t="s">
        <v>55</v>
      </c>
      <c r="N845" s="2"/>
      <c r="O845">
        <v>844</v>
      </c>
      <c r="P845">
        <v>0</v>
      </c>
      <c r="Q845" t="s">
        <v>25</v>
      </c>
      <c r="R845">
        <f ca="1">DATEDIF(EMP_RAW_Data[[#This Row],[Hire Date]],IF(EMP_RAW_Data[[#This Row],[Exit Date]]="",TODAY(),EMP_RAW_Data[[#This Row],[Exit Date]]),"Y")</f>
        <v>8</v>
      </c>
      <c r="S845" t="str">
        <f>IF(EMP_RAW_Data[[#This Row],[Status]]=1,"Inactive","Active")</f>
        <v>Active</v>
      </c>
    </row>
    <row r="846" spans="1:19" hidden="1" x14ac:dyDescent="0.3">
      <c r="A846" s="1" t="s">
        <v>929</v>
      </c>
      <c r="B846" s="1" t="s">
        <v>49</v>
      </c>
      <c r="C846" s="1" t="s">
        <v>58</v>
      </c>
      <c r="D846" s="1" t="s">
        <v>35</v>
      </c>
      <c r="E846" s="1" t="s">
        <v>29</v>
      </c>
      <c r="F846">
        <v>59</v>
      </c>
      <c r="G846" t="s">
        <v>22</v>
      </c>
      <c r="H846" s="2">
        <v>42165</v>
      </c>
      <c r="I846">
        <v>101985</v>
      </c>
      <c r="J846">
        <v>7.0000000000000007E-2</v>
      </c>
      <c r="K846">
        <v>109123.95</v>
      </c>
      <c r="L846" s="1" t="s">
        <v>23</v>
      </c>
      <c r="M846" s="1" t="s">
        <v>52</v>
      </c>
      <c r="N846" s="2"/>
      <c r="O846">
        <v>845</v>
      </c>
      <c r="P846">
        <v>0</v>
      </c>
      <c r="Q846" t="s">
        <v>25</v>
      </c>
      <c r="R846">
        <f ca="1">DATEDIF(EMP_RAW_Data[[#This Row],[Hire Date]],IF(EMP_RAW_Data[[#This Row],[Exit Date]]="",TODAY(),EMP_RAW_Data[[#This Row],[Exit Date]]),"Y")</f>
        <v>10</v>
      </c>
      <c r="S846" t="str">
        <f>IF(EMP_RAW_Data[[#This Row],[Status]]=1,"Inactive","Active")</f>
        <v>Active</v>
      </c>
    </row>
    <row r="847" spans="1:19" hidden="1" x14ac:dyDescent="0.3">
      <c r="A847" s="1" t="s">
        <v>930</v>
      </c>
      <c r="B847" s="1" t="s">
        <v>68</v>
      </c>
      <c r="C847" s="1" t="s">
        <v>34</v>
      </c>
      <c r="D847" s="1" t="s">
        <v>47</v>
      </c>
      <c r="E847" s="1" t="s">
        <v>29</v>
      </c>
      <c r="F847">
        <v>29</v>
      </c>
      <c r="G847" t="s">
        <v>40</v>
      </c>
      <c r="H847" s="2">
        <v>43439</v>
      </c>
      <c r="I847">
        <v>199504</v>
      </c>
      <c r="J847">
        <v>0.3</v>
      </c>
      <c r="K847">
        <v>259355.2</v>
      </c>
      <c r="L847" s="1" t="s">
        <v>23</v>
      </c>
      <c r="M847" s="1" t="s">
        <v>55</v>
      </c>
      <c r="N847" s="2"/>
      <c r="O847">
        <v>846</v>
      </c>
      <c r="P847">
        <v>0</v>
      </c>
      <c r="Q847" t="s">
        <v>25</v>
      </c>
      <c r="R847">
        <f ca="1">DATEDIF(EMP_RAW_Data[[#This Row],[Hire Date]],IF(EMP_RAW_Data[[#This Row],[Exit Date]]="",TODAY(),EMP_RAW_Data[[#This Row],[Exit Date]]),"Y")</f>
        <v>7</v>
      </c>
      <c r="S847" t="str">
        <f>IF(EMP_RAW_Data[[#This Row],[Status]]=1,"Inactive","Active")</f>
        <v>Active</v>
      </c>
    </row>
    <row r="848" spans="1:19" x14ac:dyDescent="0.3">
      <c r="A848" s="1" t="s">
        <v>931</v>
      </c>
      <c r="B848" s="1" t="s">
        <v>18</v>
      </c>
      <c r="C848" s="1" t="s">
        <v>46</v>
      </c>
      <c r="D848" s="1" t="s">
        <v>47</v>
      </c>
      <c r="E848" s="1" t="s">
        <v>21</v>
      </c>
      <c r="F848">
        <v>52</v>
      </c>
      <c r="G848" t="s">
        <v>36</v>
      </c>
      <c r="H848" s="2">
        <v>38995</v>
      </c>
      <c r="I848">
        <v>147966</v>
      </c>
      <c r="J848">
        <v>0.11</v>
      </c>
      <c r="K848">
        <v>164242.26</v>
      </c>
      <c r="L848" s="1" t="s">
        <v>77</v>
      </c>
      <c r="M848" s="1" t="s">
        <v>81</v>
      </c>
      <c r="N848" s="2">
        <v>43608</v>
      </c>
      <c r="O848">
        <v>847</v>
      </c>
      <c r="P848">
        <v>1</v>
      </c>
      <c r="Q848" t="s">
        <v>25</v>
      </c>
      <c r="R848">
        <f ca="1">DATEDIF(EMP_RAW_Data[[#This Row],[Hire Date]],IF(EMP_RAW_Data[[#This Row],[Exit Date]]="",TODAY(),EMP_RAW_Data[[#This Row],[Exit Date]]),"Y")</f>
        <v>12</v>
      </c>
      <c r="S848" t="str">
        <f>IF(EMP_RAW_Data[[#This Row],[Status]]=1,"Inactive","Active")</f>
        <v>Inactive</v>
      </c>
    </row>
    <row r="849" spans="1:19" hidden="1" x14ac:dyDescent="0.3">
      <c r="A849" s="1" t="s">
        <v>932</v>
      </c>
      <c r="B849" s="1" t="s">
        <v>130</v>
      </c>
      <c r="C849" s="1" t="s">
        <v>58</v>
      </c>
      <c r="D849" s="1" t="s">
        <v>35</v>
      </c>
      <c r="E849" s="1" t="s">
        <v>29</v>
      </c>
      <c r="F849">
        <v>58</v>
      </c>
      <c r="G849" t="s">
        <v>22</v>
      </c>
      <c r="H849" s="2">
        <v>41810</v>
      </c>
      <c r="I849">
        <v>41728</v>
      </c>
      <c r="J849">
        <v>0</v>
      </c>
      <c r="K849">
        <v>41728</v>
      </c>
      <c r="L849" s="1" t="s">
        <v>30</v>
      </c>
      <c r="M849" s="1" t="s">
        <v>31</v>
      </c>
      <c r="N849" s="2"/>
      <c r="O849">
        <v>848</v>
      </c>
      <c r="P849">
        <v>0</v>
      </c>
      <c r="Q849" t="s">
        <v>25</v>
      </c>
      <c r="R849">
        <f ca="1">DATEDIF(EMP_RAW_Data[[#This Row],[Hire Date]],IF(EMP_RAW_Data[[#This Row],[Exit Date]]="",TODAY(),EMP_RAW_Data[[#This Row],[Exit Date]]),"Y")</f>
        <v>11</v>
      </c>
      <c r="S849" t="str">
        <f>IF(EMP_RAW_Data[[#This Row],[Status]]=1,"Inactive","Active")</f>
        <v>Active</v>
      </c>
    </row>
    <row r="850" spans="1:19" hidden="1" x14ac:dyDescent="0.3">
      <c r="A850" s="1" t="s">
        <v>933</v>
      </c>
      <c r="B850" s="1" t="s">
        <v>42</v>
      </c>
      <c r="C850" s="1" t="s">
        <v>54</v>
      </c>
      <c r="D850" s="1" t="s">
        <v>35</v>
      </c>
      <c r="E850" s="1" t="s">
        <v>29</v>
      </c>
      <c r="F850">
        <v>62</v>
      </c>
      <c r="G850" t="s">
        <v>22</v>
      </c>
      <c r="H850" s="2">
        <v>40591</v>
      </c>
      <c r="I850">
        <v>94422</v>
      </c>
      <c r="J850">
        <v>0</v>
      </c>
      <c r="K850">
        <v>94422</v>
      </c>
      <c r="L850" s="1" t="s">
        <v>23</v>
      </c>
      <c r="M850" s="1" t="s">
        <v>43</v>
      </c>
      <c r="N850" s="2"/>
      <c r="O850">
        <v>849</v>
      </c>
      <c r="P850">
        <v>0</v>
      </c>
      <c r="Q850" t="s">
        <v>25</v>
      </c>
      <c r="R850">
        <f ca="1">DATEDIF(EMP_RAW_Data[[#This Row],[Hire Date]],IF(EMP_RAW_Data[[#This Row],[Exit Date]]="",TODAY(),EMP_RAW_Data[[#This Row],[Exit Date]]),"Y")</f>
        <v>15</v>
      </c>
      <c r="S850" t="str">
        <f>IF(EMP_RAW_Data[[#This Row],[Status]]=1,"Inactive","Active")</f>
        <v>Active</v>
      </c>
    </row>
    <row r="851" spans="1:19" hidden="1" x14ac:dyDescent="0.3">
      <c r="A851" s="1" t="s">
        <v>934</v>
      </c>
      <c r="B851" s="1" t="s">
        <v>33</v>
      </c>
      <c r="C851" s="1" t="s">
        <v>46</v>
      </c>
      <c r="D851" s="1" t="s">
        <v>47</v>
      </c>
      <c r="E851" s="1" t="s">
        <v>29</v>
      </c>
      <c r="F851">
        <v>31</v>
      </c>
      <c r="G851" t="s">
        <v>40</v>
      </c>
      <c r="H851" s="2">
        <v>42184</v>
      </c>
      <c r="I851">
        <v>191026</v>
      </c>
      <c r="J851">
        <v>0.16</v>
      </c>
      <c r="K851">
        <v>221590.16</v>
      </c>
      <c r="L851" s="1" t="s">
        <v>23</v>
      </c>
      <c r="M851" s="1" t="s">
        <v>74</v>
      </c>
      <c r="N851" s="2"/>
      <c r="O851">
        <v>850</v>
      </c>
      <c r="P851">
        <v>0</v>
      </c>
      <c r="Q851" t="s">
        <v>25</v>
      </c>
      <c r="R851">
        <f ca="1">DATEDIF(EMP_RAW_Data[[#This Row],[Hire Date]],IF(EMP_RAW_Data[[#This Row],[Exit Date]]="",TODAY(),EMP_RAW_Data[[#This Row],[Exit Date]]),"Y")</f>
        <v>10</v>
      </c>
      <c r="S851" t="str">
        <f>IF(EMP_RAW_Data[[#This Row],[Status]]=1,"Inactive","Active")</f>
        <v>Active</v>
      </c>
    </row>
    <row r="852" spans="1:19" hidden="1" x14ac:dyDescent="0.3">
      <c r="A852" s="1" t="s">
        <v>935</v>
      </c>
      <c r="B852" s="1" t="s">
        <v>68</v>
      </c>
      <c r="C852" s="1" t="s">
        <v>19</v>
      </c>
      <c r="D852" s="1" t="s">
        <v>20</v>
      </c>
      <c r="E852" s="1" t="s">
        <v>29</v>
      </c>
      <c r="F852">
        <v>42</v>
      </c>
      <c r="G852" t="s">
        <v>59</v>
      </c>
      <c r="H852" s="2">
        <v>40511</v>
      </c>
      <c r="I852">
        <v>186725</v>
      </c>
      <c r="J852">
        <v>0.32</v>
      </c>
      <c r="K852">
        <v>246477</v>
      </c>
      <c r="L852" s="1" t="s">
        <v>77</v>
      </c>
      <c r="M852" s="1" t="s">
        <v>78</v>
      </c>
      <c r="N852" s="2"/>
      <c r="O852">
        <v>851</v>
      </c>
      <c r="P852">
        <v>0</v>
      </c>
      <c r="Q852" t="s">
        <v>25</v>
      </c>
      <c r="R852">
        <f ca="1">DATEDIF(EMP_RAW_Data[[#This Row],[Hire Date]],IF(EMP_RAW_Data[[#This Row],[Exit Date]]="",TODAY(),EMP_RAW_Data[[#This Row],[Exit Date]]),"Y")</f>
        <v>15</v>
      </c>
      <c r="S852" t="str">
        <f>IF(EMP_RAW_Data[[#This Row],[Status]]=1,"Inactive","Active")</f>
        <v>Active</v>
      </c>
    </row>
    <row r="853" spans="1:19" hidden="1" x14ac:dyDescent="0.3">
      <c r="A853" s="1" t="s">
        <v>936</v>
      </c>
      <c r="B853" s="1" t="s">
        <v>130</v>
      </c>
      <c r="C853" s="1" t="s">
        <v>58</v>
      </c>
      <c r="D853" s="1" t="s">
        <v>20</v>
      </c>
      <c r="E853" s="1" t="s">
        <v>21</v>
      </c>
      <c r="F853">
        <v>56</v>
      </c>
      <c r="G853" t="s">
        <v>22</v>
      </c>
      <c r="H853" s="2">
        <v>40045</v>
      </c>
      <c r="I853">
        <v>52800</v>
      </c>
      <c r="J853">
        <v>0</v>
      </c>
      <c r="K853">
        <v>52800</v>
      </c>
      <c r="L853" s="1" t="s">
        <v>23</v>
      </c>
      <c r="M853" s="1" t="s">
        <v>43</v>
      </c>
      <c r="N853" s="2"/>
      <c r="O853">
        <v>852</v>
      </c>
      <c r="P853">
        <v>0</v>
      </c>
      <c r="Q853" t="s">
        <v>25</v>
      </c>
      <c r="R853">
        <f ca="1">DATEDIF(EMP_RAW_Data[[#This Row],[Hire Date]],IF(EMP_RAW_Data[[#This Row],[Exit Date]]="",TODAY(),EMP_RAW_Data[[#This Row],[Exit Date]]),"Y")</f>
        <v>16</v>
      </c>
      <c r="S853" t="str">
        <f>IF(EMP_RAW_Data[[#This Row],[Status]]=1,"Inactive","Active")</f>
        <v>Active</v>
      </c>
    </row>
    <row r="854" spans="1:19" hidden="1" x14ac:dyDescent="0.3">
      <c r="A854" s="1" t="s">
        <v>937</v>
      </c>
      <c r="B854" s="1" t="s">
        <v>128</v>
      </c>
      <c r="C854" s="1" t="s">
        <v>62</v>
      </c>
      <c r="D854" s="1" t="s">
        <v>35</v>
      </c>
      <c r="E854" s="1" t="s">
        <v>29</v>
      </c>
      <c r="F854">
        <v>54</v>
      </c>
      <c r="G854" t="s">
        <v>36</v>
      </c>
      <c r="H854" s="2">
        <v>40517</v>
      </c>
      <c r="I854">
        <v>113982</v>
      </c>
      <c r="J854">
        <v>0</v>
      </c>
      <c r="K854">
        <v>113982</v>
      </c>
      <c r="L854" s="1" t="s">
        <v>23</v>
      </c>
      <c r="M854" s="1" t="s">
        <v>24</v>
      </c>
      <c r="N854" s="2"/>
      <c r="O854">
        <v>853</v>
      </c>
      <c r="P854">
        <v>0</v>
      </c>
      <c r="Q854" t="s">
        <v>25</v>
      </c>
      <c r="R854">
        <f ca="1">DATEDIF(EMP_RAW_Data[[#This Row],[Hire Date]],IF(EMP_RAW_Data[[#This Row],[Exit Date]]="",TODAY(),EMP_RAW_Data[[#This Row],[Exit Date]]),"Y")</f>
        <v>15</v>
      </c>
      <c r="S854" t="str">
        <f>IF(EMP_RAW_Data[[#This Row],[Status]]=1,"Inactive","Active")</f>
        <v>Active</v>
      </c>
    </row>
    <row r="855" spans="1:19" hidden="1" x14ac:dyDescent="0.3">
      <c r="A855" s="1" t="s">
        <v>938</v>
      </c>
      <c r="B855" s="1" t="s">
        <v>45</v>
      </c>
      <c r="C855" s="1" t="s">
        <v>46</v>
      </c>
      <c r="D855" s="1" t="s">
        <v>20</v>
      </c>
      <c r="E855" s="1" t="s">
        <v>21</v>
      </c>
      <c r="F855">
        <v>54</v>
      </c>
      <c r="G855" t="s">
        <v>36</v>
      </c>
      <c r="H855" s="2">
        <v>44271</v>
      </c>
      <c r="I855">
        <v>56239</v>
      </c>
      <c r="J855">
        <v>0</v>
      </c>
      <c r="K855">
        <v>56239</v>
      </c>
      <c r="L855" s="1" t="s">
        <v>30</v>
      </c>
      <c r="M855" s="1" t="s">
        <v>31</v>
      </c>
      <c r="N855" s="2"/>
      <c r="O855">
        <v>854</v>
      </c>
      <c r="P855">
        <v>0</v>
      </c>
      <c r="Q855" t="s">
        <v>25</v>
      </c>
      <c r="R855">
        <f ca="1">DATEDIF(EMP_RAW_Data[[#This Row],[Hire Date]],IF(EMP_RAW_Data[[#This Row],[Exit Date]]="",TODAY(),EMP_RAW_Data[[#This Row],[Exit Date]]),"Y")</f>
        <v>5</v>
      </c>
      <c r="S855" t="str">
        <f>IF(EMP_RAW_Data[[#This Row],[Status]]=1,"Inactive","Active")</f>
        <v>Active</v>
      </c>
    </row>
    <row r="856" spans="1:19" hidden="1" x14ac:dyDescent="0.3">
      <c r="A856" s="1" t="s">
        <v>939</v>
      </c>
      <c r="B856" s="1" t="s">
        <v>51</v>
      </c>
      <c r="C856" s="1" t="s">
        <v>46</v>
      </c>
      <c r="D856" s="1" t="s">
        <v>28</v>
      </c>
      <c r="E856" s="1" t="s">
        <v>29</v>
      </c>
      <c r="F856">
        <v>26</v>
      </c>
      <c r="G856" t="s">
        <v>40</v>
      </c>
      <c r="H856" s="2">
        <v>44257</v>
      </c>
      <c r="I856">
        <v>44732</v>
      </c>
      <c r="J856">
        <v>0</v>
      </c>
      <c r="K856">
        <v>44732</v>
      </c>
      <c r="L856" s="1" t="s">
        <v>77</v>
      </c>
      <c r="M856" s="1" t="s">
        <v>81</v>
      </c>
      <c r="N856" s="2"/>
      <c r="O856">
        <v>855</v>
      </c>
      <c r="P856">
        <v>0</v>
      </c>
      <c r="Q856" t="s">
        <v>25</v>
      </c>
      <c r="R856">
        <f ca="1">DATEDIF(EMP_RAW_Data[[#This Row],[Hire Date]],IF(EMP_RAW_Data[[#This Row],[Exit Date]]="",TODAY(),EMP_RAW_Data[[#This Row],[Exit Date]]),"Y")</f>
        <v>5</v>
      </c>
      <c r="S856" t="str">
        <f>IF(EMP_RAW_Data[[#This Row],[Status]]=1,"Inactive","Active")</f>
        <v>Active</v>
      </c>
    </row>
    <row r="857" spans="1:19" hidden="1" x14ac:dyDescent="0.3">
      <c r="A857" s="1" t="s">
        <v>940</v>
      </c>
      <c r="B857" s="1" t="s">
        <v>33</v>
      </c>
      <c r="C857" s="1" t="s">
        <v>69</v>
      </c>
      <c r="D857" s="1" t="s">
        <v>47</v>
      </c>
      <c r="E857" s="1" t="s">
        <v>29</v>
      </c>
      <c r="F857">
        <v>49</v>
      </c>
      <c r="G857" t="s">
        <v>36</v>
      </c>
      <c r="H857" s="2">
        <v>41816</v>
      </c>
      <c r="I857">
        <v>153961</v>
      </c>
      <c r="J857">
        <v>0.25</v>
      </c>
      <c r="K857">
        <v>192451.25</v>
      </c>
      <c r="L857" s="1" t="s">
        <v>30</v>
      </c>
      <c r="M857" s="1" t="s">
        <v>65</v>
      </c>
      <c r="N857" s="2"/>
      <c r="O857">
        <v>856</v>
      </c>
      <c r="P857">
        <v>0</v>
      </c>
      <c r="Q857" t="s">
        <v>25</v>
      </c>
      <c r="R857">
        <f ca="1">DATEDIF(EMP_RAW_Data[[#This Row],[Hire Date]],IF(EMP_RAW_Data[[#This Row],[Exit Date]]="",TODAY(),EMP_RAW_Data[[#This Row],[Exit Date]]),"Y")</f>
        <v>11</v>
      </c>
      <c r="S857" t="str">
        <f>IF(EMP_RAW_Data[[#This Row],[Status]]=1,"Inactive","Active")</f>
        <v>Active</v>
      </c>
    </row>
    <row r="858" spans="1:19" hidden="1" x14ac:dyDescent="0.3">
      <c r="A858" s="1" t="s">
        <v>941</v>
      </c>
      <c r="B858" s="1" t="s">
        <v>164</v>
      </c>
      <c r="C858" s="1" t="s">
        <v>19</v>
      </c>
      <c r="D858" s="1" t="s">
        <v>35</v>
      </c>
      <c r="E858" s="1" t="s">
        <v>21</v>
      </c>
      <c r="F858">
        <v>45</v>
      </c>
      <c r="G858" t="s">
        <v>36</v>
      </c>
      <c r="H858" s="2">
        <v>39069</v>
      </c>
      <c r="I858">
        <v>68337</v>
      </c>
      <c r="J858">
        <v>0</v>
      </c>
      <c r="K858">
        <v>68337</v>
      </c>
      <c r="L858" s="1" t="s">
        <v>30</v>
      </c>
      <c r="M858" s="1" t="s">
        <v>31</v>
      </c>
      <c r="N858" s="2"/>
      <c r="O858">
        <v>857</v>
      </c>
      <c r="P858">
        <v>0</v>
      </c>
      <c r="Q858" t="s">
        <v>25</v>
      </c>
      <c r="R858">
        <f ca="1">DATEDIF(EMP_RAW_Data[[#This Row],[Hire Date]],IF(EMP_RAW_Data[[#This Row],[Exit Date]]="",TODAY(),EMP_RAW_Data[[#This Row],[Exit Date]]),"Y")</f>
        <v>19</v>
      </c>
      <c r="S858" t="str">
        <f>IF(EMP_RAW_Data[[#This Row],[Status]]=1,"Inactive","Active")</f>
        <v>Active</v>
      </c>
    </row>
    <row r="859" spans="1:19" hidden="1" x14ac:dyDescent="0.3">
      <c r="A859" s="1" t="s">
        <v>942</v>
      </c>
      <c r="B859" s="1" t="s">
        <v>18</v>
      </c>
      <c r="C859" s="1" t="s">
        <v>58</v>
      </c>
      <c r="D859" s="1" t="s">
        <v>47</v>
      </c>
      <c r="E859" s="1" t="s">
        <v>29</v>
      </c>
      <c r="F859">
        <v>45</v>
      </c>
      <c r="G859" t="s">
        <v>36</v>
      </c>
      <c r="H859" s="2">
        <v>40305</v>
      </c>
      <c r="I859">
        <v>145093</v>
      </c>
      <c r="J859">
        <v>0.12</v>
      </c>
      <c r="K859">
        <v>162504.16</v>
      </c>
      <c r="L859" s="1" t="s">
        <v>23</v>
      </c>
      <c r="M859" s="1" t="s">
        <v>37</v>
      </c>
      <c r="N859" s="2"/>
      <c r="O859">
        <v>858</v>
      </c>
      <c r="P859">
        <v>0</v>
      </c>
      <c r="Q859" t="s">
        <v>25</v>
      </c>
      <c r="R859">
        <f ca="1">DATEDIF(EMP_RAW_Data[[#This Row],[Hire Date]],IF(EMP_RAW_Data[[#This Row],[Exit Date]]="",TODAY(),EMP_RAW_Data[[#This Row],[Exit Date]]),"Y")</f>
        <v>15</v>
      </c>
      <c r="S859" t="str">
        <f>IF(EMP_RAW_Data[[#This Row],[Status]]=1,"Inactive","Active")</f>
        <v>Active</v>
      </c>
    </row>
    <row r="860" spans="1:19" hidden="1" x14ac:dyDescent="0.3">
      <c r="A860" s="1" t="s">
        <v>943</v>
      </c>
      <c r="B860" s="1" t="s">
        <v>267</v>
      </c>
      <c r="C860" s="1" t="s">
        <v>19</v>
      </c>
      <c r="D860" s="1" t="s">
        <v>35</v>
      </c>
      <c r="E860" s="1" t="s">
        <v>21</v>
      </c>
      <c r="F860">
        <v>26</v>
      </c>
      <c r="G860" t="s">
        <v>40</v>
      </c>
      <c r="H860" s="2">
        <v>44266</v>
      </c>
      <c r="I860">
        <v>74170</v>
      </c>
      <c r="J860">
        <v>0</v>
      </c>
      <c r="K860">
        <v>74170</v>
      </c>
      <c r="L860" s="1" t="s">
        <v>23</v>
      </c>
      <c r="M860" s="1" t="s">
        <v>55</v>
      </c>
      <c r="N860" s="2"/>
      <c r="O860">
        <v>859</v>
      </c>
      <c r="P860">
        <v>0</v>
      </c>
      <c r="Q860" t="s">
        <v>25</v>
      </c>
      <c r="R860">
        <f ca="1">DATEDIF(EMP_RAW_Data[[#This Row],[Hire Date]],IF(EMP_RAW_Data[[#This Row],[Exit Date]]="",TODAY(),EMP_RAW_Data[[#This Row],[Exit Date]]),"Y")</f>
        <v>5</v>
      </c>
      <c r="S860" t="str">
        <f>IF(EMP_RAW_Data[[#This Row],[Status]]=1,"Inactive","Active")</f>
        <v>Active</v>
      </c>
    </row>
    <row r="861" spans="1:19" hidden="1" x14ac:dyDescent="0.3">
      <c r="A861" s="1" t="s">
        <v>944</v>
      </c>
      <c r="B861" s="1" t="s">
        <v>124</v>
      </c>
      <c r="C861" s="1" t="s">
        <v>62</v>
      </c>
      <c r="D861" s="1" t="s">
        <v>20</v>
      </c>
      <c r="E861" s="1" t="s">
        <v>29</v>
      </c>
      <c r="F861">
        <v>59</v>
      </c>
      <c r="G861" t="s">
        <v>22</v>
      </c>
      <c r="H861" s="2">
        <v>35153</v>
      </c>
      <c r="I861">
        <v>62605</v>
      </c>
      <c r="J861">
        <v>0</v>
      </c>
      <c r="K861">
        <v>62605</v>
      </c>
      <c r="L861" s="1" t="s">
        <v>23</v>
      </c>
      <c r="M861" s="1" t="s">
        <v>55</v>
      </c>
      <c r="N861" s="2"/>
      <c r="O861">
        <v>860</v>
      </c>
      <c r="P861">
        <v>0</v>
      </c>
      <c r="Q861" t="s">
        <v>25</v>
      </c>
      <c r="R861">
        <f ca="1">DATEDIF(EMP_RAW_Data[[#This Row],[Hire Date]],IF(EMP_RAW_Data[[#This Row],[Exit Date]]="",TODAY(),EMP_RAW_Data[[#This Row],[Exit Date]]),"Y")</f>
        <v>29</v>
      </c>
      <c r="S861" t="str">
        <f>IF(EMP_RAW_Data[[#This Row],[Status]]=1,"Inactive","Active")</f>
        <v>Active</v>
      </c>
    </row>
    <row r="862" spans="1:19" hidden="1" x14ac:dyDescent="0.3">
      <c r="A862" s="1" t="s">
        <v>945</v>
      </c>
      <c r="B862" s="1" t="s">
        <v>49</v>
      </c>
      <c r="C862" s="1" t="s">
        <v>19</v>
      </c>
      <c r="D862" s="1" t="s">
        <v>35</v>
      </c>
      <c r="E862" s="1" t="s">
        <v>21</v>
      </c>
      <c r="F862">
        <v>51</v>
      </c>
      <c r="G862" t="s">
        <v>36</v>
      </c>
      <c r="H862" s="2">
        <v>43903</v>
      </c>
      <c r="I862">
        <v>107195</v>
      </c>
      <c r="J862">
        <v>0.09</v>
      </c>
      <c r="K862">
        <v>116842.55</v>
      </c>
      <c r="L862" s="1" t="s">
        <v>23</v>
      </c>
      <c r="M862" s="1" t="s">
        <v>55</v>
      </c>
      <c r="N862" s="2"/>
      <c r="O862">
        <v>861</v>
      </c>
      <c r="P862">
        <v>0</v>
      </c>
      <c r="Q862" t="s">
        <v>25</v>
      </c>
      <c r="R862">
        <f ca="1">DATEDIF(EMP_RAW_Data[[#This Row],[Hire Date]],IF(EMP_RAW_Data[[#This Row],[Exit Date]]="",TODAY(),EMP_RAW_Data[[#This Row],[Exit Date]]),"Y")</f>
        <v>6</v>
      </c>
      <c r="S862" t="str">
        <f>IF(EMP_RAW_Data[[#This Row],[Status]]=1,"Inactive","Active")</f>
        <v>Active</v>
      </c>
    </row>
    <row r="863" spans="1:19" hidden="1" x14ac:dyDescent="0.3">
      <c r="A863" s="1" t="s">
        <v>946</v>
      </c>
      <c r="B863" s="1" t="s">
        <v>18</v>
      </c>
      <c r="C863" s="1" t="s">
        <v>69</v>
      </c>
      <c r="D863" s="1" t="s">
        <v>35</v>
      </c>
      <c r="E863" s="1" t="s">
        <v>29</v>
      </c>
      <c r="F863">
        <v>45</v>
      </c>
      <c r="G863" t="s">
        <v>36</v>
      </c>
      <c r="H863" s="2">
        <v>43111</v>
      </c>
      <c r="I863">
        <v>127422</v>
      </c>
      <c r="J863">
        <v>0.15</v>
      </c>
      <c r="K863">
        <v>146535.29999999999</v>
      </c>
      <c r="L863" s="1" t="s">
        <v>23</v>
      </c>
      <c r="M863" s="1" t="s">
        <v>74</v>
      </c>
      <c r="N863" s="2"/>
      <c r="O863">
        <v>862</v>
      </c>
      <c r="P863">
        <v>0</v>
      </c>
      <c r="Q863" t="s">
        <v>25</v>
      </c>
      <c r="R863">
        <f ca="1">DATEDIF(EMP_RAW_Data[[#This Row],[Hire Date]],IF(EMP_RAW_Data[[#This Row],[Exit Date]]="",TODAY(),EMP_RAW_Data[[#This Row],[Exit Date]]),"Y")</f>
        <v>8</v>
      </c>
      <c r="S863" t="str">
        <f>IF(EMP_RAW_Data[[#This Row],[Status]]=1,"Inactive","Active")</f>
        <v>Active</v>
      </c>
    </row>
    <row r="864" spans="1:19" hidden="1" x14ac:dyDescent="0.3">
      <c r="A864" s="1" t="s">
        <v>947</v>
      </c>
      <c r="B864" s="1" t="s">
        <v>33</v>
      </c>
      <c r="C864" s="1" t="s">
        <v>54</v>
      </c>
      <c r="D864" s="1" t="s">
        <v>20</v>
      </c>
      <c r="E864" s="1" t="s">
        <v>21</v>
      </c>
      <c r="F864">
        <v>35</v>
      </c>
      <c r="G864" t="s">
        <v>59</v>
      </c>
      <c r="H864" s="2">
        <v>42912</v>
      </c>
      <c r="I864">
        <v>161269</v>
      </c>
      <c r="J864">
        <v>0.27</v>
      </c>
      <c r="K864">
        <v>204811.63</v>
      </c>
      <c r="L864" s="1" t="s">
        <v>23</v>
      </c>
      <c r="M864" s="1" t="s">
        <v>52</v>
      </c>
      <c r="N864" s="2"/>
      <c r="O864">
        <v>863</v>
      </c>
      <c r="P864">
        <v>0</v>
      </c>
      <c r="Q864" t="s">
        <v>25</v>
      </c>
      <c r="R864">
        <f ca="1">DATEDIF(EMP_RAW_Data[[#This Row],[Hire Date]],IF(EMP_RAW_Data[[#This Row],[Exit Date]]="",TODAY(),EMP_RAW_Data[[#This Row],[Exit Date]]),"Y")</f>
        <v>8</v>
      </c>
      <c r="S864" t="str">
        <f>IF(EMP_RAW_Data[[#This Row],[Status]]=1,"Inactive","Active")</f>
        <v>Active</v>
      </c>
    </row>
    <row r="865" spans="1:19" hidden="1" x14ac:dyDescent="0.3">
      <c r="A865" s="1" t="s">
        <v>948</v>
      </c>
      <c r="B865" s="1" t="s">
        <v>68</v>
      </c>
      <c r="C865" s="1" t="s">
        <v>69</v>
      </c>
      <c r="D865" s="1" t="s">
        <v>47</v>
      </c>
      <c r="E865" s="1" t="s">
        <v>21</v>
      </c>
      <c r="F865">
        <v>32</v>
      </c>
      <c r="G865" t="s">
        <v>40</v>
      </c>
      <c r="H865" s="2">
        <v>41675</v>
      </c>
      <c r="I865">
        <v>203445</v>
      </c>
      <c r="J865">
        <v>0.34</v>
      </c>
      <c r="K865">
        <v>272616.3</v>
      </c>
      <c r="L865" s="1" t="s">
        <v>77</v>
      </c>
      <c r="M865" s="1" t="s">
        <v>78</v>
      </c>
      <c r="N865" s="2"/>
      <c r="O865">
        <v>864</v>
      </c>
      <c r="P865">
        <v>0</v>
      </c>
      <c r="Q865" t="s">
        <v>25</v>
      </c>
      <c r="R865">
        <f ca="1">DATEDIF(EMP_RAW_Data[[#This Row],[Hire Date]],IF(EMP_RAW_Data[[#This Row],[Exit Date]]="",TODAY(),EMP_RAW_Data[[#This Row],[Exit Date]]),"Y")</f>
        <v>12</v>
      </c>
      <c r="S865" t="str">
        <f>IF(EMP_RAW_Data[[#This Row],[Status]]=1,"Inactive","Active")</f>
        <v>Active</v>
      </c>
    </row>
    <row r="866" spans="1:19" hidden="1" x14ac:dyDescent="0.3">
      <c r="A866" s="1" t="s">
        <v>949</v>
      </c>
      <c r="B866" s="1" t="s">
        <v>18</v>
      </c>
      <c r="C866" s="1" t="s">
        <v>58</v>
      </c>
      <c r="D866" s="1" t="s">
        <v>20</v>
      </c>
      <c r="E866" s="1" t="s">
        <v>21</v>
      </c>
      <c r="F866">
        <v>37</v>
      </c>
      <c r="G866" t="s">
        <v>59</v>
      </c>
      <c r="H866" s="2">
        <v>40560</v>
      </c>
      <c r="I866">
        <v>131353</v>
      </c>
      <c r="J866">
        <v>0.11</v>
      </c>
      <c r="K866">
        <v>145801.82999999999</v>
      </c>
      <c r="L866" s="1" t="s">
        <v>30</v>
      </c>
      <c r="M866" s="1" t="s">
        <v>65</v>
      </c>
      <c r="N866" s="2"/>
      <c r="O866">
        <v>865</v>
      </c>
      <c r="P866">
        <v>0</v>
      </c>
      <c r="Q866" t="s">
        <v>25</v>
      </c>
      <c r="R866">
        <f ca="1">DATEDIF(EMP_RAW_Data[[#This Row],[Hire Date]],IF(EMP_RAW_Data[[#This Row],[Exit Date]]="",TODAY(),EMP_RAW_Data[[#This Row],[Exit Date]]),"Y")</f>
        <v>15</v>
      </c>
      <c r="S866" t="str">
        <f>IF(EMP_RAW_Data[[#This Row],[Status]]=1,"Inactive","Active")</f>
        <v>Active</v>
      </c>
    </row>
    <row r="867" spans="1:19" hidden="1" x14ac:dyDescent="0.3">
      <c r="A867" s="1" t="s">
        <v>950</v>
      </c>
      <c r="B867" s="1" t="s">
        <v>278</v>
      </c>
      <c r="C867" s="1" t="s">
        <v>19</v>
      </c>
      <c r="D867" s="1" t="s">
        <v>28</v>
      </c>
      <c r="E867" s="1" t="s">
        <v>29</v>
      </c>
      <c r="F867">
        <v>45</v>
      </c>
      <c r="G867" t="s">
        <v>36</v>
      </c>
      <c r="H867" s="2">
        <v>40253</v>
      </c>
      <c r="I867">
        <v>88182</v>
      </c>
      <c r="J867">
        <v>0</v>
      </c>
      <c r="K867">
        <v>88182</v>
      </c>
      <c r="L867" s="1" t="s">
        <v>30</v>
      </c>
      <c r="M867" s="1" t="s">
        <v>102</v>
      </c>
      <c r="N867" s="2"/>
      <c r="O867">
        <v>866</v>
      </c>
      <c r="P867">
        <v>0</v>
      </c>
      <c r="Q867" t="s">
        <v>25</v>
      </c>
      <c r="R867">
        <f ca="1">DATEDIF(EMP_RAW_Data[[#This Row],[Hire Date]],IF(EMP_RAW_Data[[#This Row],[Exit Date]]="",TODAY(),EMP_RAW_Data[[#This Row],[Exit Date]]),"Y")</f>
        <v>16</v>
      </c>
      <c r="S867" t="str">
        <f>IF(EMP_RAW_Data[[#This Row],[Status]]=1,"Inactive","Active")</f>
        <v>Active</v>
      </c>
    </row>
    <row r="868" spans="1:19" hidden="1" x14ac:dyDescent="0.3">
      <c r="A868" s="1" t="s">
        <v>951</v>
      </c>
      <c r="B868" s="1" t="s">
        <v>100</v>
      </c>
      <c r="C868" s="1" t="s">
        <v>19</v>
      </c>
      <c r="D868" s="1" t="s">
        <v>35</v>
      </c>
      <c r="E868" s="1" t="s">
        <v>29</v>
      </c>
      <c r="F868">
        <v>61</v>
      </c>
      <c r="G868" t="s">
        <v>22</v>
      </c>
      <c r="H868" s="2">
        <v>43703</v>
      </c>
      <c r="I868">
        <v>75780</v>
      </c>
      <c r="J868">
        <v>0</v>
      </c>
      <c r="K868">
        <v>75780</v>
      </c>
      <c r="L868" s="1" t="s">
        <v>23</v>
      </c>
      <c r="M868" s="1" t="s">
        <v>24</v>
      </c>
      <c r="N868" s="2"/>
      <c r="O868">
        <v>867</v>
      </c>
      <c r="P868">
        <v>0</v>
      </c>
      <c r="Q868" t="s">
        <v>25</v>
      </c>
      <c r="R868">
        <f ca="1">DATEDIF(EMP_RAW_Data[[#This Row],[Hire Date]],IF(EMP_RAW_Data[[#This Row],[Exit Date]]="",TODAY(),EMP_RAW_Data[[#This Row],[Exit Date]]),"Y")</f>
        <v>6</v>
      </c>
      <c r="S868" t="str">
        <f>IF(EMP_RAW_Data[[#This Row],[Status]]=1,"Inactive","Active")</f>
        <v>Active</v>
      </c>
    </row>
    <row r="869" spans="1:19" hidden="1" x14ac:dyDescent="0.3">
      <c r="A869" s="1" t="s">
        <v>952</v>
      </c>
      <c r="B869" s="1" t="s">
        <v>96</v>
      </c>
      <c r="C869" s="1" t="s">
        <v>46</v>
      </c>
      <c r="D869" s="1" t="s">
        <v>20</v>
      </c>
      <c r="E869" s="1" t="s">
        <v>21</v>
      </c>
      <c r="F869">
        <v>45</v>
      </c>
      <c r="G869" t="s">
        <v>36</v>
      </c>
      <c r="H869" s="2">
        <v>43557</v>
      </c>
      <c r="I869">
        <v>52621</v>
      </c>
      <c r="J869">
        <v>0</v>
      </c>
      <c r="K869">
        <v>52621</v>
      </c>
      <c r="L869" s="1" t="s">
        <v>30</v>
      </c>
      <c r="M869" s="1" t="s">
        <v>90</v>
      </c>
      <c r="N869" s="2"/>
      <c r="O869">
        <v>868</v>
      </c>
      <c r="P869">
        <v>0</v>
      </c>
      <c r="Q869" t="s">
        <v>25</v>
      </c>
      <c r="R869">
        <f ca="1">DATEDIF(EMP_RAW_Data[[#This Row],[Hire Date]],IF(EMP_RAW_Data[[#This Row],[Exit Date]]="",TODAY(),EMP_RAW_Data[[#This Row],[Exit Date]]),"Y")</f>
        <v>6</v>
      </c>
      <c r="S869" t="str">
        <f>IF(EMP_RAW_Data[[#This Row],[Status]]=1,"Inactive","Active")</f>
        <v>Active</v>
      </c>
    </row>
    <row r="870" spans="1:19" x14ac:dyDescent="0.3">
      <c r="A870" s="1" t="s">
        <v>953</v>
      </c>
      <c r="B870" s="1" t="s">
        <v>89</v>
      </c>
      <c r="C870" s="1" t="s">
        <v>62</v>
      </c>
      <c r="D870" s="1" t="s">
        <v>20</v>
      </c>
      <c r="E870" s="1" t="s">
        <v>29</v>
      </c>
      <c r="F870">
        <v>60</v>
      </c>
      <c r="G870" t="s">
        <v>22</v>
      </c>
      <c r="H870" s="2">
        <v>43146</v>
      </c>
      <c r="I870">
        <v>106079</v>
      </c>
      <c r="J870">
        <v>0.14000000000000001</v>
      </c>
      <c r="K870">
        <v>120930.06</v>
      </c>
      <c r="L870" s="1" t="s">
        <v>23</v>
      </c>
      <c r="M870" s="1" t="s">
        <v>55</v>
      </c>
      <c r="N870" s="2">
        <v>44295</v>
      </c>
      <c r="O870">
        <v>869</v>
      </c>
      <c r="P870">
        <v>1</v>
      </c>
      <c r="Q870" t="s">
        <v>25</v>
      </c>
      <c r="R870">
        <f ca="1">DATEDIF(EMP_RAW_Data[[#This Row],[Hire Date]],IF(EMP_RAW_Data[[#This Row],[Exit Date]]="",TODAY(),EMP_RAW_Data[[#This Row],[Exit Date]]),"Y")</f>
        <v>3</v>
      </c>
      <c r="S870" t="str">
        <f>IF(EMP_RAW_Data[[#This Row],[Status]]=1,"Inactive","Active")</f>
        <v>Inactive</v>
      </c>
    </row>
    <row r="871" spans="1:19" hidden="1" x14ac:dyDescent="0.3">
      <c r="A871" s="1" t="s">
        <v>954</v>
      </c>
      <c r="B871" s="1" t="s">
        <v>142</v>
      </c>
      <c r="C871" s="1" t="s">
        <v>19</v>
      </c>
      <c r="D871" s="1" t="s">
        <v>47</v>
      </c>
      <c r="E871" s="1" t="s">
        <v>29</v>
      </c>
      <c r="F871">
        <v>30</v>
      </c>
      <c r="G871" t="s">
        <v>40</v>
      </c>
      <c r="H871" s="2">
        <v>42777</v>
      </c>
      <c r="I871">
        <v>92058</v>
      </c>
      <c r="J871">
        <v>0</v>
      </c>
      <c r="K871">
        <v>92058</v>
      </c>
      <c r="L871" s="1" t="s">
        <v>23</v>
      </c>
      <c r="M871" s="1" t="s">
        <v>55</v>
      </c>
      <c r="N871" s="2"/>
      <c r="O871">
        <v>870</v>
      </c>
      <c r="P871">
        <v>0</v>
      </c>
      <c r="Q871" t="s">
        <v>25</v>
      </c>
      <c r="R871">
        <f ca="1">DATEDIF(EMP_RAW_Data[[#This Row],[Hire Date]],IF(EMP_RAW_Data[[#This Row],[Exit Date]]="",TODAY(),EMP_RAW_Data[[#This Row],[Exit Date]]),"Y")</f>
        <v>9</v>
      </c>
      <c r="S871" t="str">
        <f>IF(EMP_RAW_Data[[#This Row],[Status]]=1,"Inactive","Active")</f>
        <v>Active</v>
      </c>
    </row>
    <row r="872" spans="1:19" hidden="1" x14ac:dyDescent="0.3">
      <c r="A872" s="1" t="s">
        <v>955</v>
      </c>
      <c r="B872" s="1" t="s">
        <v>124</v>
      </c>
      <c r="C872" s="1" t="s">
        <v>62</v>
      </c>
      <c r="D872" s="1" t="s">
        <v>28</v>
      </c>
      <c r="E872" s="1" t="s">
        <v>29</v>
      </c>
      <c r="F872">
        <v>64</v>
      </c>
      <c r="G872" t="s">
        <v>22</v>
      </c>
      <c r="H872" s="2">
        <v>43527</v>
      </c>
      <c r="I872">
        <v>67114</v>
      </c>
      <c r="J872">
        <v>0</v>
      </c>
      <c r="K872">
        <v>67114</v>
      </c>
      <c r="L872" s="1" t="s">
        <v>23</v>
      </c>
      <c r="M872" s="1" t="s">
        <v>43</v>
      </c>
      <c r="N872" s="2"/>
      <c r="O872">
        <v>871</v>
      </c>
      <c r="P872">
        <v>0</v>
      </c>
      <c r="Q872" t="s">
        <v>25</v>
      </c>
      <c r="R872">
        <f ca="1">DATEDIF(EMP_RAW_Data[[#This Row],[Hire Date]],IF(EMP_RAW_Data[[#This Row],[Exit Date]]="",TODAY(),EMP_RAW_Data[[#This Row],[Exit Date]]),"Y")</f>
        <v>7</v>
      </c>
      <c r="S872" t="str">
        <f>IF(EMP_RAW_Data[[#This Row],[Status]]=1,"Inactive","Active")</f>
        <v>Active</v>
      </c>
    </row>
    <row r="873" spans="1:19" hidden="1" x14ac:dyDescent="0.3">
      <c r="A873" s="1" t="s">
        <v>956</v>
      </c>
      <c r="B873" s="1" t="s">
        <v>96</v>
      </c>
      <c r="C873" s="1" t="s">
        <v>34</v>
      </c>
      <c r="D873" s="1" t="s">
        <v>20</v>
      </c>
      <c r="E873" s="1" t="s">
        <v>21</v>
      </c>
      <c r="F873">
        <v>25</v>
      </c>
      <c r="G873" t="s">
        <v>40</v>
      </c>
      <c r="H873" s="2">
        <v>44024</v>
      </c>
      <c r="I873">
        <v>56565</v>
      </c>
      <c r="J873">
        <v>0</v>
      </c>
      <c r="K873">
        <v>56565</v>
      </c>
      <c r="L873" s="1" t="s">
        <v>77</v>
      </c>
      <c r="M873" s="1" t="s">
        <v>148</v>
      </c>
      <c r="N873" s="2"/>
      <c r="O873">
        <v>872</v>
      </c>
      <c r="P873">
        <v>0</v>
      </c>
      <c r="Q873" t="s">
        <v>25</v>
      </c>
      <c r="R873">
        <f ca="1">DATEDIF(EMP_RAW_Data[[#This Row],[Hire Date]],IF(EMP_RAW_Data[[#This Row],[Exit Date]]="",TODAY(),EMP_RAW_Data[[#This Row],[Exit Date]]),"Y")</f>
        <v>5</v>
      </c>
      <c r="S873" t="str">
        <f>IF(EMP_RAW_Data[[#This Row],[Status]]=1,"Inactive","Active")</f>
        <v>Active</v>
      </c>
    </row>
    <row r="874" spans="1:19" hidden="1" x14ac:dyDescent="0.3">
      <c r="A874" s="1" t="s">
        <v>957</v>
      </c>
      <c r="B874" s="1" t="s">
        <v>118</v>
      </c>
      <c r="C874" s="1" t="s">
        <v>58</v>
      </c>
      <c r="D874" s="1" t="s">
        <v>28</v>
      </c>
      <c r="E874" s="1" t="s">
        <v>21</v>
      </c>
      <c r="F874">
        <v>61</v>
      </c>
      <c r="G874" t="s">
        <v>22</v>
      </c>
      <c r="H874" s="2">
        <v>40683</v>
      </c>
      <c r="I874">
        <v>64937</v>
      </c>
      <c r="J874">
        <v>0</v>
      </c>
      <c r="K874">
        <v>64937</v>
      </c>
      <c r="L874" s="1" t="s">
        <v>23</v>
      </c>
      <c r="M874" s="1" t="s">
        <v>43</v>
      </c>
      <c r="N874" s="2"/>
      <c r="O874">
        <v>873</v>
      </c>
      <c r="P874">
        <v>0</v>
      </c>
      <c r="Q874" t="s">
        <v>25</v>
      </c>
      <c r="R874">
        <f ca="1">DATEDIF(EMP_RAW_Data[[#This Row],[Hire Date]],IF(EMP_RAW_Data[[#This Row],[Exit Date]]="",TODAY(),EMP_RAW_Data[[#This Row],[Exit Date]]),"Y")</f>
        <v>14</v>
      </c>
      <c r="S874" t="str">
        <f>IF(EMP_RAW_Data[[#This Row],[Status]]=1,"Inactive","Active")</f>
        <v>Active</v>
      </c>
    </row>
    <row r="875" spans="1:19" hidden="1" x14ac:dyDescent="0.3">
      <c r="A875" s="1" t="s">
        <v>958</v>
      </c>
      <c r="B875" s="1" t="s">
        <v>49</v>
      </c>
      <c r="C875" s="1" t="s">
        <v>69</v>
      </c>
      <c r="D875" s="1" t="s">
        <v>28</v>
      </c>
      <c r="E875" s="1" t="s">
        <v>21</v>
      </c>
      <c r="F875">
        <v>65</v>
      </c>
      <c r="G875" t="s">
        <v>71</v>
      </c>
      <c r="H875" s="2">
        <v>38967</v>
      </c>
      <c r="I875">
        <v>127626</v>
      </c>
      <c r="J875">
        <v>0.1</v>
      </c>
      <c r="K875">
        <v>140388.6</v>
      </c>
      <c r="L875" s="1" t="s">
        <v>23</v>
      </c>
      <c r="M875" s="1" t="s">
        <v>52</v>
      </c>
      <c r="N875" s="2"/>
      <c r="O875">
        <v>874</v>
      </c>
      <c r="P875">
        <v>0</v>
      </c>
      <c r="Q875" t="s">
        <v>25</v>
      </c>
      <c r="R875">
        <f ca="1">DATEDIF(EMP_RAW_Data[[#This Row],[Hire Date]],IF(EMP_RAW_Data[[#This Row],[Exit Date]]="",TODAY(),EMP_RAW_Data[[#This Row],[Exit Date]]),"Y")</f>
        <v>19</v>
      </c>
      <c r="S875" t="str">
        <f>IF(EMP_RAW_Data[[#This Row],[Status]]=1,"Inactive","Active")</f>
        <v>Active</v>
      </c>
    </row>
    <row r="876" spans="1:19" hidden="1" x14ac:dyDescent="0.3">
      <c r="A876" s="1" t="s">
        <v>959</v>
      </c>
      <c r="B876" s="1" t="s">
        <v>164</v>
      </c>
      <c r="C876" s="1" t="s">
        <v>19</v>
      </c>
      <c r="D876" s="1" t="s">
        <v>47</v>
      </c>
      <c r="E876" s="1" t="s">
        <v>29</v>
      </c>
      <c r="F876">
        <v>61</v>
      </c>
      <c r="G876" t="s">
        <v>22</v>
      </c>
      <c r="H876" s="2">
        <v>38013</v>
      </c>
      <c r="I876">
        <v>88478</v>
      </c>
      <c r="J876">
        <v>0</v>
      </c>
      <c r="K876">
        <v>88478</v>
      </c>
      <c r="L876" s="1" t="s">
        <v>23</v>
      </c>
      <c r="M876" s="1" t="s">
        <v>55</v>
      </c>
      <c r="N876" s="2"/>
      <c r="O876">
        <v>875</v>
      </c>
      <c r="P876">
        <v>0</v>
      </c>
      <c r="Q876" t="s">
        <v>25</v>
      </c>
      <c r="R876">
        <f ca="1">DATEDIF(EMP_RAW_Data[[#This Row],[Hire Date]],IF(EMP_RAW_Data[[#This Row],[Exit Date]]="",TODAY(),EMP_RAW_Data[[#This Row],[Exit Date]]),"Y")</f>
        <v>22</v>
      </c>
      <c r="S876" t="str">
        <f>IF(EMP_RAW_Data[[#This Row],[Status]]=1,"Inactive","Active")</f>
        <v>Active</v>
      </c>
    </row>
    <row r="877" spans="1:19" hidden="1" x14ac:dyDescent="0.3">
      <c r="A877" s="1" t="s">
        <v>960</v>
      </c>
      <c r="B877" s="1" t="s">
        <v>39</v>
      </c>
      <c r="C877" s="1" t="s">
        <v>19</v>
      </c>
      <c r="D877" s="1" t="s">
        <v>35</v>
      </c>
      <c r="E877" s="1" t="s">
        <v>21</v>
      </c>
      <c r="F877">
        <v>48</v>
      </c>
      <c r="G877" t="s">
        <v>36</v>
      </c>
      <c r="H877" s="2">
        <v>41749</v>
      </c>
      <c r="I877">
        <v>91679</v>
      </c>
      <c r="J877">
        <v>7.0000000000000007E-2</v>
      </c>
      <c r="K877">
        <v>98096.53</v>
      </c>
      <c r="L877" s="1" t="s">
        <v>30</v>
      </c>
      <c r="M877" s="1" t="s">
        <v>31</v>
      </c>
      <c r="N877" s="2"/>
      <c r="O877">
        <v>876</v>
      </c>
      <c r="P877">
        <v>0</v>
      </c>
      <c r="Q877" t="s">
        <v>25</v>
      </c>
      <c r="R877">
        <f ca="1">DATEDIF(EMP_RAW_Data[[#This Row],[Hire Date]],IF(EMP_RAW_Data[[#This Row],[Exit Date]]="",TODAY(),EMP_RAW_Data[[#This Row],[Exit Date]]),"Y")</f>
        <v>11</v>
      </c>
      <c r="S877" t="str">
        <f>IF(EMP_RAW_Data[[#This Row],[Status]]=1,"Inactive","Active")</f>
        <v>Active</v>
      </c>
    </row>
    <row r="878" spans="1:19" hidden="1" x14ac:dyDescent="0.3">
      <c r="A878" s="1" t="s">
        <v>961</v>
      </c>
      <c r="B878" s="1" t="s">
        <v>33</v>
      </c>
      <c r="C878" s="1" t="s">
        <v>46</v>
      </c>
      <c r="D878" s="1" t="s">
        <v>47</v>
      </c>
      <c r="E878" s="1" t="s">
        <v>29</v>
      </c>
      <c r="F878">
        <v>58</v>
      </c>
      <c r="G878" t="s">
        <v>22</v>
      </c>
      <c r="H878" s="2">
        <v>33682</v>
      </c>
      <c r="I878">
        <v>199848</v>
      </c>
      <c r="J878">
        <v>0.16</v>
      </c>
      <c r="K878">
        <v>231823.68</v>
      </c>
      <c r="L878" s="1" t="s">
        <v>30</v>
      </c>
      <c r="M878" s="1" t="s">
        <v>31</v>
      </c>
      <c r="N878" s="2"/>
      <c r="O878">
        <v>877</v>
      </c>
      <c r="P878">
        <v>0</v>
      </c>
      <c r="Q878" t="s">
        <v>25</v>
      </c>
      <c r="R878">
        <f ca="1">DATEDIF(EMP_RAW_Data[[#This Row],[Hire Date]],IF(EMP_RAW_Data[[#This Row],[Exit Date]]="",TODAY(),EMP_RAW_Data[[#This Row],[Exit Date]]),"Y")</f>
        <v>33</v>
      </c>
      <c r="S878" t="str">
        <f>IF(EMP_RAW_Data[[#This Row],[Status]]=1,"Inactive","Active")</f>
        <v>Active</v>
      </c>
    </row>
    <row r="879" spans="1:19" hidden="1" x14ac:dyDescent="0.3">
      <c r="A879" s="1" t="s">
        <v>962</v>
      </c>
      <c r="B879" s="1" t="s">
        <v>166</v>
      </c>
      <c r="C879" s="1" t="s">
        <v>19</v>
      </c>
      <c r="D879" s="1" t="s">
        <v>28</v>
      </c>
      <c r="E879" s="1" t="s">
        <v>29</v>
      </c>
      <c r="F879">
        <v>34</v>
      </c>
      <c r="G879" t="s">
        <v>40</v>
      </c>
      <c r="H879" s="2">
        <v>43414</v>
      </c>
      <c r="I879">
        <v>61944</v>
      </c>
      <c r="J879">
        <v>0</v>
      </c>
      <c r="K879">
        <v>61944</v>
      </c>
      <c r="L879" s="1" t="s">
        <v>30</v>
      </c>
      <c r="M879" s="1" t="s">
        <v>65</v>
      </c>
      <c r="N879" s="2"/>
      <c r="O879">
        <v>878</v>
      </c>
      <c r="P879">
        <v>0</v>
      </c>
      <c r="Q879" t="s">
        <v>25</v>
      </c>
      <c r="R879">
        <f ca="1">DATEDIF(EMP_RAW_Data[[#This Row],[Hire Date]],IF(EMP_RAW_Data[[#This Row],[Exit Date]]="",TODAY(),EMP_RAW_Data[[#This Row],[Exit Date]]),"Y")</f>
        <v>7</v>
      </c>
      <c r="S879" t="str">
        <f>IF(EMP_RAW_Data[[#This Row],[Status]]=1,"Inactive","Active")</f>
        <v>Active</v>
      </c>
    </row>
    <row r="880" spans="1:19" hidden="1" x14ac:dyDescent="0.3">
      <c r="A880" s="1" t="s">
        <v>963</v>
      </c>
      <c r="B880" s="1" t="s">
        <v>18</v>
      </c>
      <c r="C880" s="1" t="s">
        <v>46</v>
      </c>
      <c r="D880" s="1" t="s">
        <v>35</v>
      </c>
      <c r="E880" s="1" t="s">
        <v>21</v>
      </c>
      <c r="F880">
        <v>30</v>
      </c>
      <c r="G880" t="s">
        <v>40</v>
      </c>
      <c r="H880" s="2">
        <v>42960</v>
      </c>
      <c r="I880">
        <v>154624</v>
      </c>
      <c r="J880">
        <v>0.15</v>
      </c>
      <c r="K880">
        <v>177817.60000000001</v>
      </c>
      <c r="L880" s="1" t="s">
        <v>23</v>
      </c>
      <c r="M880" s="1" t="s">
        <v>55</v>
      </c>
      <c r="N880" s="2"/>
      <c r="O880">
        <v>879</v>
      </c>
      <c r="P880">
        <v>0</v>
      </c>
      <c r="Q880" t="s">
        <v>25</v>
      </c>
      <c r="R880">
        <f ca="1">DATEDIF(EMP_RAW_Data[[#This Row],[Hire Date]],IF(EMP_RAW_Data[[#This Row],[Exit Date]]="",TODAY(),EMP_RAW_Data[[#This Row],[Exit Date]]),"Y")</f>
        <v>8</v>
      </c>
      <c r="S880" t="str">
        <f>IF(EMP_RAW_Data[[#This Row],[Status]]=1,"Inactive","Active")</f>
        <v>Active</v>
      </c>
    </row>
    <row r="881" spans="1:19" hidden="1" x14ac:dyDescent="0.3">
      <c r="A881" s="1" t="s">
        <v>964</v>
      </c>
      <c r="B881" s="1" t="s">
        <v>42</v>
      </c>
      <c r="C881" s="1" t="s">
        <v>54</v>
      </c>
      <c r="D881" s="1" t="s">
        <v>20</v>
      </c>
      <c r="E881" s="1" t="s">
        <v>29</v>
      </c>
      <c r="F881">
        <v>50</v>
      </c>
      <c r="G881" t="s">
        <v>36</v>
      </c>
      <c r="H881" s="2">
        <v>40109</v>
      </c>
      <c r="I881">
        <v>79447</v>
      </c>
      <c r="J881">
        <v>0</v>
      </c>
      <c r="K881">
        <v>79447</v>
      </c>
      <c r="L881" s="1" t="s">
        <v>30</v>
      </c>
      <c r="M881" s="1" t="s">
        <v>65</v>
      </c>
      <c r="N881" s="2"/>
      <c r="O881">
        <v>880</v>
      </c>
      <c r="P881">
        <v>0</v>
      </c>
      <c r="Q881" t="s">
        <v>25</v>
      </c>
      <c r="R881">
        <f ca="1">DATEDIF(EMP_RAW_Data[[#This Row],[Hire Date]],IF(EMP_RAW_Data[[#This Row],[Exit Date]]="",TODAY(),EMP_RAW_Data[[#This Row],[Exit Date]]),"Y")</f>
        <v>16</v>
      </c>
      <c r="S881" t="str">
        <f>IF(EMP_RAW_Data[[#This Row],[Status]]=1,"Inactive","Active")</f>
        <v>Active</v>
      </c>
    </row>
    <row r="882" spans="1:19" hidden="1" x14ac:dyDescent="0.3">
      <c r="A882" s="1" t="s">
        <v>965</v>
      </c>
      <c r="B882" s="1" t="s">
        <v>42</v>
      </c>
      <c r="C882" s="1" t="s">
        <v>46</v>
      </c>
      <c r="D882" s="1" t="s">
        <v>28</v>
      </c>
      <c r="E882" s="1" t="s">
        <v>29</v>
      </c>
      <c r="F882">
        <v>51</v>
      </c>
      <c r="G882" t="s">
        <v>36</v>
      </c>
      <c r="H882" s="2">
        <v>35852</v>
      </c>
      <c r="I882">
        <v>71111</v>
      </c>
      <c r="J882">
        <v>0</v>
      </c>
      <c r="K882">
        <v>71111</v>
      </c>
      <c r="L882" s="1" t="s">
        <v>77</v>
      </c>
      <c r="M882" s="1" t="s">
        <v>81</v>
      </c>
      <c r="N882" s="2"/>
      <c r="O882">
        <v>881</v>
      </c>
      <c r="P882">
        <v>0</v>
      </c>
      <c r="Q882" t="s">
        <v>25</v>
      </c>
      <c r="R882">
        <f ca="1">DATEDIF(EMP_RAW_Data[[#This Row],[Hire Date]],IF(EMP_RAW_Data[[#This Row],[Exit Date]]="",TODAY(),EMP_RAW_Data[[#This Row],[Exit Date]]),"Y")</f>
        <v>28</v>
      </c>
      <c r="S882" t="str">
        <f>IF(EMP_RAW_Data[[#This Row],[Status]]=1,"Inactive","Active")</f>
        <v>Active</v>
      </c>
    </row>
    <row r="883" spans="1:19" hidden="1" x14ac:dyDescent="0.3">
      <c r="A883" s="1" t="s">
        <v>966</v>
      </c>
      <c r="B883" s="1" t="s">
        <v>18</v>
      </c>
      <c r="C883" s="1" t="s">
        <v>46</v>
      </c>
      <c r="D883" s="1" t="s">
        <v>20</v>
      </c>
      <c r="E883" s="1" t="s">
        <v>29</v>
      </c>
      <c r="F883">
        <v>53</v>
      </c>
      <c r="G883" t="s">
        <v>36</v>
      </c>
      <c r="H883" s="2">
        <v>41931</v>
      </c>
      <c r="I883">
        <v>159538</v>
      </c>
      <c r="J883">
        <v>0.11</v>
      </c>
      <c r="K883">
        <v>177087.18</v>
      </c>
      <c r="L883" s="1" t="s">
        <v>23</v>
      </c>
      <c r="M883" s="1" t="s">
        <v>52</v>
      </c>
      <c r="N883" s="2"/>
      <c r="O883">
        <v>882</v>
      </c>
      <c r="P883">
        <v>0</v>
      </c>
      <c r="Q883" t="s">
        <v>25</v>
      </c>
      <c r="R883">
        <f ca="1">DATEDIF(EMP_RAW_Data[[#This Row],[Hire Date]],IF(EMP_RAW_Data[[#This Row],[Exit Date]]="",TODAY(),EMP_RAW_Data[[#This Row],[Exit Date]]),"Y")</f>
        <v>11</v>
      </c>
      <c r="S883" t="str">
        <f>IF(EMP_RAW_Data[[#This Row],[Status]]=1,"Inactive","Active")</f>
        <v>Active</v>
      </c>
    </row>
    <row r="884" spans="1:19" hidden="1" x14ac:dyDescent="0.3">
      <c r="A884" s="1" t="s">
        <v>967</v>
      </c>
      <c r="B884" s="1" t="s">
        <v>61</v>
      </c>
      <c r="C884" s="1" t="s">
        <v>62</v>
      </c>
      <c r="D884" s="1" t="s">
        <v>47</v>
      </c>
      <c r="E884" s="1" t="s">
        <v>21</v>
      </c>
      <c r="F884">
        <v>47</v>
      </c>
      <c r="G884" t="s">
        <v>36</v>
      </c>
      <c r="H884" s="2">
        <v>43375</v>
      </c>
      <c r="I884">
        <v>111404</v>
      </c>
      <c r="J884">
        <v>0</v>
      </c>
      <c r="K884">
        <v>111404</v>
      </c>
      <c r="L884" s="1" t="s">
        <v>77</v>
      </c>
      <c r="M884" s="1" t="s">
        <v>81</v>
      </c>
      <c r="N884" s="2"/>
      <c r="O884">
        <v>883</v>
      </c>
      <c r="P884">
        <v>0</v>
      </c>
      <c r="Q884" t="s">
        <v>25</v>
      </c>
      <c r="R884">
        <f ca="1">DATEDIF(EMP_RAW_Data[[#This Row],[Hire Date]],IF(EMP_RAW_Data[[#This Row],[Exit Date]]="",TODAY(),EMP_RAW_Data[[#This Row],[Exit Date]]),"Y")</f>
        <v>7</v>
      </c>
      <c r="S884" t="str">
        <f>IF(EMP_RAW_Data[[#This Row],[Status]]=1,"Inactive","Active")</f>
        <v>Active</v>
      </c>
    </row>
    <row r="885" spans="1:19" hidden="1" x14ac:dyDescent="0.3">
      <c r="A885" s="1" t="s">
        <v>968</v>
      </c>
      <c r="B885" s="1" t="s">
        <v>33</v>
      </c>
      <c r="C885" s="1" t="s">
        <v>69</v>
      </c>
      <c r="D885" s="1" t="s">
        <v>35</v>
      </c>
      <c r="E885" s="1" t="s">
        <v>29</v>
      </c>
      <c r="F885">
        <v>25</v>
      </c>
      <c r="G885" t="s">
        <v>40</v>
      </c>
      <c r="H885" s="2">
        <v>44058</v>
      </c>
      <c r="I885">
        <v>172007</v>
      </c>
      <c r="J885">
        <v>0.26</v>
      </c>
      <c r="K885">
        <v>216728.82</v>
      </c>
      <c r="L885" s="1" t="s">
        <v>23</v>
      </c>
      <c r="M885" s="1" t="s">
        <v>52</v>
      </c>
      <c r="N885" s="2"/>
      <c r="O885">
        <v>884</v>
      </c>
      <c r="P885">
        <v>0</v>
      </c>
      <c r="Q885" t="s">
        <v>25</v>
      </c>
      <c r="R885">
        <f ca="1">DATEDIF(EMP_RAW_Data[[#This Row],[Hire Date]],IF(EMP_RAW_Data[[#This Row],[Exit Date]]="",TODAY(),EMP_RAW_Data[[#This Row],[Exit Date]]),"Y")</f>
        <v>5</v>
      </c>
      <c r="S885" t="str">
        <f>IF(EMP_RAW_Data[[#This Row],[Status]]=1,"Inactive","Active")</f>
        <v>Active</v>
      </c>
    </row>
    <row r="886" spans="1:19" hidden="1" x14ac:dyDescent="0.3">
      <c r="A886" s="1" t="s">
        <v>969</v>
      </c>
      <c r="B886" s="1" t="s">
        <v>68</v>
      </c>
      <c r="C886" s="1" t="s">
        <v>69</v>
      </c>
      <c r="D886" s="1" t="s">
        <v>28</v>
      </c>
      <c r="E886" s="1" t="s">
        <v>21</v>
      </c>
      <c r="F886">
        <v>37</v>
      </c>
      <c r="G886" t="s">
        <v>59</v>
      </c>
      <c r="H886" s="2">
        <v>40745</v>
      </c>
      <c r="I886">
        <v>219474</v>
      </c>
      <c r="J886">
        <v>0.36</v>
      </c>
      <c r="K886">
        <v>298484.64</v>
      </c>
      <c r="L886" s="1" t="s">
        <v>77</v>
      </c>
      <c r="M886" s="1" t="s">
        <v>78</v>
      </c>
      <c r="N886" s="2"/>
      <c r="O886">
        <v>885</v>
      </c>
      <c r="P886">
        <v>0</v>
      </c>
      <c r="Q886" t="s">
        <v>25</v>
      </c>
      <c r="R886">
        <f ca="1">DATEDIF(EMP_RAW_Data[[#This Row],[Hire Date]],IF(EMP_RAW_Data[[#This Row],[Exit Date]]="",TODAY(),EMP_RAW_Data[[#This Row],[Exit Date]]),"Y")</f>
        <v>14</v>
      </c>
      <c r="S886" t="str">
        <f>IF(EMP_RAW_Data[[#This Row],[Status]]=1,"Inactive","Active")</f>
        <v>Active</v>
      </c>
    </row>
    <row r="887" spans="1:19" hidden="1" x14ac:dyDescent="0.3">
      <c r="A887" s="1" t="s">
        <v>970</v>
      </c>
      <c r="B887" s="1" t="s">
        <v>33</v>
      </c>
      <c r="C887" s="1" t="s">
        <v>34</v>
      </c>
      <c r="D887" s="1" t="s">
        <v>47</v>
      </c>
      <c r="E887" s="1" t="s">
        <v>29</v>
      </c>
      <c r="F887">
        <v>41</v>
      </c>
      <c r="G887" t="s">
        <v>59</v>
      </c>
      <c r="H887" s="2">
        <v>43600</v>
      </c>
      <c r="I887">
        <v>174415</v>
      </c>
      <c r="J887">
        <v>0.23</v>
      </c>
      <c r="K887">
        <v>214530.45</v>
      </c>
      <c r="L887" s="1" t="s">
        <v>23</v>
      </c>
      <c r="M887" s="1" t="s">
        <v>52</v>
      </c>
      <c r="N887" s="2"/>
      <c r="O887">
        <v>886</v>
      </c>
      <c r="P887">
        <v>0</v>
      </c>
      <c r="Q887" t="s">
        <v>25</v>
      </c>
      <c r="R887">
        <f ca="1">DATEDIF(EMP_RAW_Data[[#This Row],[Hire Date]],IF(EMP_RAW_Data[[#This Row],[Exit Date]]="",TODAY(),EMP_RAW_Data[[#This Row],[Exit Date]]),"Y")</f>
        <v>6</v>
      </c>
      <c r="S887" t="str">
        <f>IF(EMP_RAW_Data[[#This Row],[Status]]=1,"Inactive","Active")</f>
        <v>Active</v>
      </c>
    </row>
    <row r="888" spans="1:19" hidden="1" x14ac:dyDescent="0.3">
      <c r="A888" s="1" t="s">
        <v>971</v>
      </c>
      <c r="B888" s="1" t="s">
        <v>164</v>
      </c>
      <c r="C888" s="1" t="s">
        <v>19</v>
      </c>
      <c r="D888" s="1" t="s">
        <v>35</v>
      </c>
      <c r="E888" s="1" t="s">
        <v>21</v>
      </c>
      <c r="F888">
        <v>36</v>
      </c>
      <c r="G888" t="s">
        <v>59</v>
      </c>
      <c r="H888" s="2">
        <v>44217</v>
      </c>
      <c r="I888">
        <v>90333</v>
      </c>
      <c r="J888">
        <v>0</v>
      </c>
      <c r="K888">
        <v>90333</v>
      </c>
      <c r="L888" s="1" t="s">
        <v>77</v>
      </c>
      <c r="M888" s="1" t="s">
        <v>81</v>
      </c>
      <c r="N888" s="2"/>
      <c r="O888">
        <v>887</v>
      </c>
      <c r="P888">
        <v>0</v>
      </c>
      <c r="Q888" t="s">
        <v>25</v>
      </c>
      <c r="R888">
        <f ca="1">DATEDIF(EMP_RAW_Data[[#This Row],[Hire Date]],IF(EMP_RAW_Data[[#This Row],[Exit Date]]="",TODAY(),EMP_RAW_Data[[#This Row],[Exit Date]]),"Y")</f>
        <v>5</v>
      </c>
      <c r="S888" t="str">
        <f>IF(EMP_RAW_Data[[#This Row],[Status]]=1,"Inactive","Active")</f>
        <v>Active</v>
      </c>
    </row>
    <row r="889" spans="1:19" hidden="1" x14ac:dyDescent="0.3">
      <c r="A889" s="1" t="s">
        <v>972</v>
      </c>
      <c r="B889" s="1" t="s">
        <v>118</v>
      </c>
      <c r="C889" s="1" t="s">
        <v>58</v>
      </c>
      <c r="D889" s="1" t="s">
        <v>35</v>
      </c>
      <c r="E889" s="1" t="s">
        <v>29</v>
      </c>
      <c r="F889">
        <v>25</v>
      </c>
      <c r="G889" t="s">
        <v>40</v>
      </c>
      <c r="H889" s="2">
        <v>44217</v>
      </c>
      <c r="I889">
        <v>67299</v>
      </c>
      <c r="J889">
        <v>0</v>
      </c>
      <c r="K889">
        <v>67299</v>
      </c>
      <c r="L889" s="1" t="s">
        <v>23</v>
      </c>
      <c r="M889" s="1" t="s">
        <v>43</v>
      </c>
      <c r="N889" s="2"/>
      <c r="O889">
        <v>888</v>
      </c>
      <c r="P889">
        <v>0</v>
      </c>
      <c r="Q889" t="s">
        <v>25</v>
      </c>
      <c r="R889">
        <f ca="1">DATEDIF(EMP_RAW_Data[[#This Row],[Hire Date]],IF(EMP_RAW_Data[[#This Row],[Exit Date]]="",TODAY(),EMP_RAW_Data[[#This Row],[Exit Date]]),"Y")</f>
        <v>5</v>
      </c>
      <c r="S889" t="str">
        <f>IF(EMP_RAW_Data[[#This Row],[Status]]=1,"Inactive","Active")</f>
        <v>Active</v>
      </c>
    </row>
    <row r="890" spans="1:19" hidden="1" x14ac:dyDescent="0.3">
      <c r="A890" s="1" t="s">
        <v>973</v>
      </c>
      <c r="B890" s="1" t="s">
        <v>208</v>
      </c>
      <c r="C890" s="1" t="s">
        <v>19</v>
      </c>
      <c r="D890" s="1" t="s">
        <v>20</v>
      </c>
      <c r="E890" s="1" t="s">
        <v>21</v>
      </c>
      <c r="F890">
        <v>52</v>
      </c>
      <c r="G890" t="s">
        <v>36</v>
      </c>
      <c r="H890" s="2">
        <v>38406</v>
      </c>
      <c r="I890">
        <v>45286</v>
      </c>
      <c r="J890">
        <v>0</v>
      </c>
      <c r="K890">
        <v>45286</v>
      </c>
      <c r="L890" s="1" t="s">
        <v>23</v>
      </c>
      <c r="M890" s="1" t="s">
        <v>37</v>
      </c>
      <c r="N890" s="2"/>
      <c r="O890">
        <v>889</v>
      </c>
      <c r="P890">
        <v>0</v>
      </c>
      <c r="Q890" t="s">
        <v>25</v>
      </c>
      <c r="R890">
        <f ca="1">DATEDIF(EMP_RAW_Data[[#This Row],[Hire Date]],IF(EMP_RAW_Data[[#This Row],[Exit Date]]="",TODAY(),EMP_RAW_Data[[#This Row],[Exit Date]]),"Y")</f>
        <v>21</v>
      </c>
      <c r="S890" t="str">
        <f>IF(EMP_RAW_Data[[#This Row],[Status]]=1,"Inactive","Active")</f>
        <v>Active</v>
      </c>
    </row>
    <row r="891" spans="1:19" hidden="1" x14ac:dyDescent="0.3">
      <c r="A891" s="1" t="s">
        <v>974</v>
      </c>
      <c r="B891" s="1" t="s">
        <v>33</v>
      </c>
      <c r="C891" s="1" t="s">
        <v>69</v>
      </c>
      <c r="D891" s="1" t="s">
        <v>20</v>
      </c>
      <c r="E891" s="1" t="s">
        <v>29</v>
      </c>
      <c r="F891">
        <v>48</v>
      </c>
      <c r="G891" t="s">
        <v>36</v>
      </c>
      <c r="H891" s="2">
        <v>39302</v>
      </c>
      <c r="I891">
        <v>194723</v>
      </c>
      <c r="J891">
        <v>0.25</v>
      </c>
      <c r="K891">
        <v>243403.75</v>
      </c>
      <c r="L891" s="1" t="s">
        <v>23</v>
      </c>
      <c r="M891" s="1" t="s">
        <v>43</v>
      </c>
      <c r="N891" s="2"/>
      <c r="O891">
        <v>890</v>
      </c>
      <c r="P891">
        <v>0</v>
      </c>
      <c r="Q891" t="s">
        <v>25</v>
      </c>
      <c r="R891">
        <f ca="1">DATEDIF(EMP_RAW_Data[[#This Row],[Hire Date]],IF(EMP_RAW_Data[[#This Row],[Exit Date]]="",TODAY(),EMP_RAW_Data[[#This Row],[Exit Date]]),"Y")</f>
        <v>18</v>
      </c>
      <c r="S891" t="str">
        <f>IF(EMP_RAW_Data[[#This Row],[Status]]=1,"Inactive","Active")</f>
        <v>Active</v>
      </c>
    </row>
    <row r="892" spans="1:19" x14ac:dyDescent="0.3">
      <c r="A892" s="1" t="s">
        <v>975</v>
      </c>
      <c r="B892" s="1" t="s">
        <v>49</v>
      </c>
      <c r="C892" s="1" t="s">
        <v>46</v>
      </c>
      <c r="D892" s="1" t="s">
        <v>20</v>
      </c>
      <c r="E892" s="1" t="s">
        <v>29</v>
      </c>
      <c r="F892">
        <v>49</v>
      </c>
      <c r="G892" t="s">
        <v>36</v>
      </c>
      <c r="H892" s="2">
        <v>41131</v>
      </c>
      <c r="I892">
        <v>109850</v>
      </c>
      <c r="J892">
        <v>7.0000000000000007E-2</v>
      </c>
      <c r="K892">
        <v>117539.5</v>
      </c>
      <c r="L892" s="1" t="s">
        <v>30</v>
      </c>
      <c r="M892" s="1" t="s">
        <v>90</v>
      </c>
      <c r="N892" s="2">
        <v>43865</v>
      </c>
      <c r="O892">
        <v>891</v>
      </c>
      <c r="P892">
        <v>1</v>
      </c>
      <c r="Q892" t="s">
        <v>25</v>
      </c>
      <c r="R892">
        <f ca="1">DATEDIF(EMP_RAW_Data[[#This Row],[Hire Date]],IF(EMP_RAW_Data[[#This Row],[Exit Date]]="",TODAY(),EMP_RAW_Data[[#This Row],[Exit Date]]),"Y")</f>
        <v>7</v>
      </c>
      <c r="S892" t="str">
        <f>IF(EMP_RAW_Data[[#This Row],[Status]]=1,"Inactive","Active")</f>
        <v>Inactive</v>
      </c>
    </row>
    <row r="893" spans="1:19" hidden="1" x14ac:dyDescent="0.3">
      <c r="A893" s="1" t="s">
        <v>976</v>
      </c>
      <c r="B893" s="1" t="s">
        <v>130</v>
      </c>
      <c r="C893" s="1" t="s">
        <v>58</v>
      </c>
      <c r="D893" s="1" t="s">
        <v>20</v>
      </c>
      <c r="E893" s="1" t="s">
        <v>21</v>
      </c>
      <c r="F893">
        <v>62</v>
      </c>
      <c r="G893" t="s">
        <v>22</v>
      </c>
      <c r="H893" s="2">
        <v>41748</v>
      </c>
      <c r="I893">
        <v>45295</v>
      </c>
      <c r="J893">
        <v>0</v>
      </c>
      <c r="K893">
        <v>45295</v>
      </c>
      <c r="L893" s="1" t="s">
        <v>77</v>
      </c>
      <c r="M893" s="1" t="s">
        <v>148</v>
      </c>
      <c r="N893" s="2"/>
      <c r="O893">
        <v>892</v>
      </c>
      <c r="P893">
        <v>0</v>
      </c>
      <c r="Q893" t="s">
        <v>25</v>
      </c>
      <c r="R893">
        <f ca="1">DATEDIF(EMP_RAW_Data[[#This Row],[Hire Date]],IF(EMP_RAW_Data[[#This Row],[Exit Date]]="",TODAY(),EMP_RAW_Data[[#This Row],[Exit Date]]),"Y")</f>
        <v>11</v>
      </c>
      <c r="S893" t="str">
        <f>IF(EMP_RAW_Data[[#This Row],[Status]]=1,"Inactive","Active")</f>
        <v>Active</v>
      </c>
    </row>
    <row r="894" spans="1:19" hidden="1" x14ac:dyDescent="0.3">
      <c r="A894" s="1" t="s">
        <v>977</v>
      </c>
      <c r="B894" s="1" t="s">
        <v>290</v>
      </c>
      <c r="C894" s="1" t="s">
        <v>19</v>
      </c>
      <c r="D894" s="1" t="s">
        <v>28</v>
      </c>
      <c r="E894" s="1" t="s">
        <v>21</v>
      </c>
      <c r="F894">
        <v>36</v>
      </c>
      <c r="G894" t="s">
        <v>59</v>
      </c>
      <c r="H894" s="2">
        <v>40413</v>
      </c>
      <c r="I894">
        <v>61310</v>
      </c>
      <c r="J894">
        <v>0</v>
      </c>
      <c r="K894">
        <v>61310</v>
      </c>
      <c r="L894" s="1" t="s">
        <v>23</v>
      </c>
      <c r="M894" s="1" t="s">
        <v>43</v>
      </c>
      <c r="N894" s="2"/>
      <c r="O894">
        <v>893</v>
      </c>
      <c r="P894">
        <v>0</v>
      </c>
      <c r="Q894" t="s">
        <v>25</v>
      </c>
      <c r="R894">
        <f ca="1">DATEDIF(EMP_RAW_Data[[#This Row],[Hire Date]],IF(EMP_RAW_Data[[#This Row],[Exit Date]]="",TODAY(),EMP_RAW_Data[[#This Row],[Exit Date]]),"Y")</f>
        <v>15</v>
      </c>
      <c r="S894" t="str">
        <f>IF(EMP_RAW_Data[[#This Row],[Status]]=1,"Inactive","Active")</f>
        <v>Active</v>
      </c>
    </row>
    <row r="895" spans="1:19" hidden="1" x14ac:dyDescent="0.3">
      <c r="A895" s="1" t="s">
        <v>978</v>
      </c>
      <c r="B895" s="1" t="s">
        <v>192</v>
      </c>
      <c r="C895" s="1" t="s">
        <v>19</v>
      </c>
      <c r="D895" s="1" t="s">
        <v>20</v>
      </c>
      <c r="E895" s="1" t="s">
        <v>29</v>
      </c>
      <c r="F895">
        <v>55</v>
      </c>
      <c r="G895" t="s">
        <v>22</v>
      </c>
      <c r="H895" s="2">
        <v>42683</v>
      </c>
      <c r="I895">
        <v>87851</v>
      </c>
      <c r="J895">
        <v>0</v>
      </c>
      <c r="K895">
        <v>87851</v>
      </c>
      <c r="L895" s="1" t="s">
        <v>30</v>
      </c>
      <c r="M895" s="1" t="s">
        <v>31</v>
      </c>
      <c r="N895" s="2"/>
      <c r="O895">
        <v>894</v>
      </c>
      <c r="P895">
        <v>0</v>
      </c>
      <c r="Q895" t="s">
        <v>25</v>
      </c>
      <c r="R895">
        <f ca="1">DATEDIF(EMP_RAW_Data[[#This Row],[Hire Date]],IF(EMP_RAW_Data[[#This Row],[Exit Date]]="",TODAY(),EMP_RAW_Data[[#This Row],[Exit Date]]),"Y")</f>
        <v>9</v>
      </c>
      <c r="S895" t="str">
        <f>IF(EMP_RAW_Data[[#This Row],[Status]]=1,"Inactive","Active")</f>
        <v>Active</v>
      </c>
    </row>
    <row r="896" spans="1:19" hidden="1" x14ac:dyDescent="0.3">
      <c r="A896" s="1" t="s">
        <v>979</v>
      </c>
      <c r="B896" s="1" t="s">
        <v>130</v>
      </c>
      <c r="C896" s="1" t="s">
        <v>58</v>
      </c>
      <c r="D896" s="1" t="s">
        <v>35</v>
      </c>
      <c r="E896" s="1" t="s">
        <v>21</v>
      </c>
      <c r="F896">
        <v>31</v>
      </c>
      <c r="G896" t="s">
        <v>40</v>
      </c>
      <c r="H896" s="2">
        <v>43171</v>
      </c>
      <c r="I896">
        <v>47913</v>
      </c>
      <c r="J896">
        <v>0</v>
      </c>
      <c r="K896">
        <v>47913</v>
      </c>
      <c r="L896" s="1" t="s">
        <v>23</v>
      </c>
      <c r="M896" s="1" t="s">
        <v>24</v>
      </c>
      <c r="N896" s="2"/>
      <c r="O896">
        <v>895</v>
      </c>
      <c r="P896">
        <v>0</v>
      </c>
      <c r="Q896" t="s">
        <v>25</v>
      </c>
      <c r="R896">
        <f ca="1">DATEDIF(EMP_RAW_Data[[#This Row],[Hire Date]],IF(EMP_RAW_Data[[#This Row],[Exit Date]]="",TODAY(),EMP_RAW_Data[[#This Row],[Exit Date]]),"Y")</f>
        <v>8</v>
      </c>
      <c r="S896" t="str">
        <f>IF(EMP_RAW_Data[[#This Row],[Status]]=1,"Inactive","Active")</f>
        <v>Active</v>
      </c>
    </row>
    <row r="897" spans="1:19" x14ac:dyDescent="0.3">
      <c r="A897" s="1" t="s">
        <v>980</v>
      </c>
      <c r="B897" s="1" t="s">
        <v>130</v>
      </c>
      <c r="C897" s="1" t="s">
        <v>58</v>
      </c>
      <c r="D897" s="1" t="s">
        <v>35</v>
      </c>
      <c r="E897" s="1" t="s">
        <v>21</v>
      </c>
      <c r="F897">
        <v>53</v>
      </c>
      <c r="G897" t="s">
        <v>36</v>
      </c>
      <c r="H897" s="2">
        <v>42985</v>
      </c>
      <c r="I897">
        <v>46727</v>
      </c>
      <c r="J897">
        <v>0</v>
      </c>
      <c r="K897">
        <v>46727</v>
      </c>
      <c r="L897" s="1" t="s">
        <v>23</v>
      </c>
      <c r="M897" s="1" t="s">
        <v>74</v>
      </c>
      <c r="N897" s="2">
        <v>43251</v>
      </c>
      <c r="O897">
        <v>896</v>
      </c>
      <c r="P897">
        <v>1</v>
      </c>
      <c r="Q897" t="s">
        <v>25</v>
      </c>
      <c r="R897">
        <f ca="1">DATEDIF(EMP_RAW_Data[[#This Row],[Hire Date]],IF(EMP_RAW_Data[[#This Row],[Exit Date]]="",TODAY(),EMP_RAW_Data[[#This Row],[Exit Date]]),"Y")</f>
        <v>0</v>
      </c>
      <c r="S897" t="str">
        <f>IF(EMP_RAW_Data[[#This Row],[Status]]=1,"Inactive","Active")</f>
        <v>Inactive</v>
      </c>
    </row>
    <row r="898" spans="1:19" hidden="1" x14ac:dyDescent="0.3">
      <c r="A898" s="1" t="s">
        <v>981</v>
      </c>
      <c r="B898" s="1" t="s">
        <v>18</v>
      </c>
      <c r="C898" s="1" t="s">
        <v>58</v>
      </c>
      <c r="D898" s="1" t="s">
        <v>35</v>
      </c>
      <c r="E898" s="1" t="s">
        <v>29</v>
      </c>
      <c r="F898">
        <v>27</v>
      </c>
      <c r="G898" t="s">
        <v>40</v>
      </c>
      <c r="H898" s="2">
        <v>44302</v>
      </c>
      <c r="I898">
        <v>133400</v>
      </c>
      <c r="J898">
        <v>0.11</v>
      </c>
      <c r="K898">
        <v>148074</v>
      </c>
      <c r="L898" s="1" t="s">
        <v>23</v>
      </c>
      <c r="M898" s="1" t="s">
        <v>43</v>
      </c>
      <c r="N898" s="2"/>
      <c r="O898">
        <v>897</v>
      </c>
      <c r="P898">
        <v>0</v>
      </c>
      <c r="Q898" t="s">
        <v>25</v>
      </c>
      <c r="R898">
        <f ca="1">DATEDIF(EMP_RAW_Data[[#This Row],[Hire Date]],IF(EMP_RAW_Data[[#This Row],[Exit Date]]="",TODAY(),EMP_RAW_Data[[#This Row],[Exit Date]]),"Y")</f>
        <v>4</v>
      </c>
      <c r="S898" t="str">
        <f>IF(EMP_RAW_Data[[#This Row],[Status]]=1,"Inactive","Active")</f>
        <v>Active</v>
      </c>
    </row>
    <row r="899" spans="1:19" hidden="1" x14ac:dyDescent="0.3">
      <c r="A899" s="1" t="s">
        <v>982</v>
      </c>
      <c r="B899" s="1" t="s">
        <v>230</v>
      </c>
      <c r="C899" s="1" t="s">
        <v>19</v>
      </c>
      <c r="D899" s="1" t="s">
        <v>35</v>
      </c>
      <c r="E899" s="1" t="s">
        <v>21</v>
      </c>
      <c r="F899">
        <v>39</v>
      </c>
      <c r="G899" t="s">
        <v>59</v>
      </c>
      <c r="H899" s="2">
        <v>43943</v>
      </c>
      <c r="I899">
        <v>90535</v>
      </c>
      <c r="J899">
        <v>0</v>
      </c>
      <c r="K899">
        <v>90535</v>
      </c>
      <c r="L899" s="1" t="s">
        <v>23</v>
      </c>
      <c r="M899" s="1" t="s">
        <v>52</v>
      </c>
      <c r="N899" s="2"/>
      <c r="O899">
        <v>898</v>
      </c>
      <c r="P899">
        <v>0</v>
      </c>
      <c r="Q899" t="s">
        <v>25</v>
      </c>
      <c r="R899">
        <f ca="1">DATEDIF(EMP_RAW_Data[[#This Row],[Hire Date]],IF(EMP_RAW_Data[[#This Row],[Exit Date]]="",TODAY(),EMP_RAW_Data[[#This Row],[Exit Date]]),"Y")</f>
        <v>5</v>
      </c>
      <c r="S899" t="str">
        <f>IF(EMP_RAW_Data[[#This Row],[Status]]=1,"Inactive","Active")</f>
        <v>Active</v>
      </c>
    </row>
    <row r="900" spans="1:19" hidden="1" x14ac:dyDescent="0.3">
      <c r="A900" s="1" t="s">
        <v>983</v>
      </c>
      <c r="B900" s="1" t="s">
        <v>42</v>
      </c>
      <c r="C900" s="1" t="s">
        <v>69</v>
      </c>
      <c r="D900" s="1" t="s">
        <v>35</v>
      </c>
      <c r="E900" s="1" t="s">
        <v>29</v>
      </c>
      <c r="F900">
        <v>55</v>
      </c>
      <c r="G900" t="s">
        <v>22</v>
      </c>
      <c r="H900" s="2">
        <v>38909</v>
      </c>
      <c r="I900">
        <v>93343</v>
      </c>
      <c r="J900">
        <v>0</v>
      </c>
      <c r="K900">
        <v>93343</v>
      </c>
      <c r="L900" s="1" t="s">
        <v>30</v>
      </c>
      <c r="M900" s="1" t="s">
        <v>31</v>
      </c>
      <c r="N900" s="2"/>
      <c r="O900">
        <v>899</v>
      </c>
      <c r="P900">
        <v>0</v>
      </c>
      <c r="Q900" t="s">
        <v>25</v>
      </c>
      <c r="R900">
        <f ca="1">DATEDIF(EMP_RAW_Data[[#This Row],[Hire Date]],IF(EMP_RAW_Data[[#This Row],[Exit Date]]="",TODAY(),EMP_RAW_Data[[#This Row],[Exit Date]]),"Y")</f>
        <v>19</v>
      </c>
      <c r="S900" t="str">
        <f>IF(EMP_RAW_Data[[#This Row],[Status]]=1,"Inactive","Active")</f>
        <v>Active</v>
      </c>
    </row>
    <row r="901" spans="1:19" hidden="1" x14ac:dyDescent="0.3">
      <c r="A901" s="1" t="s">
        <v>984</v>
      </c>
      <c r="B901" s="1" t="s">
        <v>118</v>
      </c>
      <c r="C901" s="1" t="s">
        <v>58</v>
      </c>
      <c r="D901" s="1" t="s">
        <v>47</v>
      </c>
      <c r="E901" s="1" t="s">
        <v>21</v>
      </c>
      <c r="F901">
        <v>44</v>
      </c>
      <c r="G901" t="s">
        <v>59</v>
      </c>
      <c r="H901" s="2">
        <v>38771</v>
      </c>
      <c r="I901">
        <v>63705</v>
      </c>
      <c r="J901">
        <v>0</v>
      </c>
      <c r="K901">
        <v>63705</v>
      </c>
      <c r="L901" s="1" t="s">
        <v>23</v>
      </c>
      <c r="M901" s="1" t="s">
        <v>52</v>
      </c>
      <c r="N901" s="2"/>
      <c r="O901">
        <v>900</v>
      </c>
      <c r="P901">
        <v>0</v>
      </c>
      <c r="Q901" t="s">
        <v>25</v>
      </c>
      <c r="R901">
        <f ca="1">DATEDIF(EMP_RAW_Data[[#This Row],[Hire Date]],IF(EMP_RAW_Data[[#This Row],[Exit Date]]="",TODAY(),EMP_RAW_Data[[#This Row],[Exit Date]]),"Y")</f>
        <v>20</v>
      </c>
      <c r="S901" t="str">
        <f>IF(EMP_RAW_Data[[#This Row],[Status]]=1,"Inactive","Active")</f>
        <v>Active</v>
      </c>
    </row>
    <row r="902" spans="1:19" hidden="1" x14ac:dyDescent="0.3">
      <c r="A902" s="1" t="s">
        <v>985</v>
      </c>
      <c r="B902" s="1" t="s">
        <v>68</v>
      </c>
      <c r="C902" s="1" t="s">
        <v>46</v>
      </c>
      <c r="D902" s="1" t="s">
        <v>47</v>
      </c>
      <c r="E902" s="1" t="s">
        <v>29</v>
      </c>
      <c r="F902">
        <v>48</v>
      </c>
      <c r="G902" t="s">
        <v>36</v>
      </c>
      <c r="H902" s="2">
        <v>36584</v>
      </c>
      <c r="I902">
        <v>258081</v>
      </c>
      <c r="J902">
        <v>0.3</v>
      </c>
      <c r="K902">
        <v>335505.3</v>
      </c>
      <c r="L902" s="1" t="s">
        <v>23</v>
      </c>
      <c r="M902" s="1" t="s">
        <v>37</v>
      </c>
      <c r="N902" s="2"/>
      <c r="O902">
        <v>901</v>
      </c>
      <c r="P902">
        <v>0</v>
      </c>
      <c r="Q902" t="s">
        <v>25</v>
      </c>
      <c r="R902">
        <f ca="1">DATEDIF(EMP_RAW_Data[[#This Row],[Hire Date]],IF(EMP_RAW_Data[[#This Row],[Exit Date]]="",TODAY(),EMP_RAW_Data[[#This Row],[Exit Date]]),"Y")</f>
        <v>26</v>
      </c>
      <c r="S902" t="str">
        <f>IF(EMP_RAW_Data[[#This Row],[Status]]=1,"Inactive","Active")</f>
        <v>Active</v>
      </c>
    </row>
    <row r="903" spans="1:19" hidden="1" x14ac:dyDescent="0.3">
      <c r="A903" s="1" t="s">
        <v>986</v>
      </c>
      <c r="B903" s="1" t="s">
        <v>130</v>
      </c>
      <c r="C903" s="1" t="s">
        <v>58</v>
      </c>
      <c r="D903" s="1" t="s">
        <v>20</v>
      </c>
      <c r="E903" s="1" t="s">
        <v>29</v>
      </c>
      <c r="F903">
        <v>48</v>
      </c>
      <c r="G903" t="s">
        <v>36</v>
      </c>
      <c r="H903" s="2">
        <v>44095</v>
      </c>
      <c r="I903">
        <v>54654</v>
      </c>
      <c r="J903">
        <v>0</v>
      </c>
      <c r="K903">
        <v>54654</v>
      </c>
      <c r="L903" s="1" t="s">
        <v>23</v>
      </c>
      <c r="M903" s="1" t="s">
        <v>43</v>
      </c>
      <c r="N903" s="2"/>
      <c r="O903">
        <v>902</v>
      </c>
      <c r="P903">
        <v>0</v>
      </c>
      <c r="Q903" t="s">
        <v>25</v>
      </c>
      <c r="R903">
        <f ca="1">DATEDIF(EMP_RAW_Data[[#This Row],[Hire Date]],IF(EMP_RAW_Data[[#This Row],[Exit Date]]="",TODAY(),EMP_RAW_Data[[#This Row],[Exit Date]]),"Y")</f>
        <v>5</v>
      </c>
      <c r="S903" t="str">
        <f>IF(EMP_RAW_Data[[#This Row],[Status]]=1,"Inactive","Active")</f>
        <v>Active</v>
      </c>
    </row>
    <row r="904" spans="1:19" hidden="1" x14ac:dyDescent="0.3">
      <c r="A904" s="1" t="s">
        <v>987</v>
      </c>
      <c r="B904" s="1" t="s">
        <v>51</v>
      </c>
      <c r="C904" s="1" t="s">
        <v>46</v>
      </c>
      <c r="D904" s="1" t="s">
        <v>28</v>
      </c>
      <c r="E904" s="1" t="s">
        <v>29</v>
      </c>
      <c r="F904">
        <v>54</v>
      </c>
      <c r="G904" t="s">
        <v>36</v>
      </c>
      <c r="H904" s="2">
        <v>36062</v>
      </c>
      <c r="I904">
        <v>58006</v>
      </c>
      <c r="J904">
        <v>0</v>
      </c>
      <c r="K904">
        <v>58006</v>
      </c>
      <c r="L904" s="1" t="s">
        <v>23</v>
      </c>
      <c r="M904" s="1" t="s">
        <v>24</v>
      </c>
      <c r="N904" s="2"/>
      <c r="O904">
        <v>903</v>
      </c>
      <c r="P904">
        <v>0</v>
      </c>
      <c r="Q904" t="s">
        <v>25</v>
      </c>
      <c r="R904">
        <f ca="1">DATEDIF(EMP_RAW_Data[[#This Row],[Hire Date]],IF(EMP_RAW_Data[[#This Row],[Exit Date]]="",TODAY(),EMP_RAW_Data[[#This Row],[Exit Date]]),"Y")</f>
        <v>27</v>
      </c>
      <c r="S904" t="str">
        <f>IF(EMP_RAW_Data[[#This Row],[Status]]=1,"Inactive","Active")</f>
        <v>Active</v>
      </c>
    </row>
    <row r="905" spans="1:19" hidden="1" x14ac:dyDescent="0.3">
      <c r="A905" s="1" t="s">
        <v>988</v>
      </c>
      <c r="B905" s="1" t="s">
        <v>18</v>
      </c>
      <c r="C905" s="1" t="s">
        <v>34</v>
      </c>
      <c r="D905" s="1" t="s">
        <v>28</v>
      </c>
      <c r="E905" s="1" t="s">
        <v>21</v>
      </c>
      <c r="F905">
        <v>42</v>
      </c>
      <c r="G905" t="s">
        <v>59</v>
      </c>
      <c r="H905" s="2">
        <v>40620</v>
      </c>
      <c r="I905">
        <v>150034</v>
      </c>
      <c r="J905">
        <v>0.12</v>
      </c>
      <c r="K905">
        <v>168038.08</v>
      </c>
      <c r="L905" s="1" t="s">
        <v>30</v>
      </c>
      <c r="M905" s="1" t="s">
        <v>90</v>
      </c>
      <c r="N905" s="2"/>
      <c r="O905">
        <v>904</v>
      </c>
      <c r="P905">
        <v>0</v>
      </c>
      <c r="Q905" t="s">
        <v>25</v>
      </c>
      <c r="R905">
        <f ca="1">DATEDIF(EMP_RAW_Data[[#This Row],[Hire Date]],IF(EMP_RAW_Data[[#This Row],[Exit Date]]="",TODAY(),EMP_RAW_Data[[#This Row],[Exit Date]]),"Y")</f>
        <v>14</v>
      </c>
      <c r="S905" t="str">
        <f>IF(EMP_RAW_Data[[#This Row],[Status]]=1,"Inactive","Active")</f>
        <v>Active</v>
      </c>
    </row>
    <row r="906" spans="1:19" hidden="1" x14ac:dyDescent="0.3">
      <c r="A906" s="1" t="s">
        <v>989</v>
      </c>
      <c r="B906" s="1" t="s">
        <v>33</v>
      </c>
      <c r="C906" s="1" t="s">
        <v>58</v>
      </c>
      <c r="D906" s="1" t="s">
        <v>35</v>
      </c>
      <c r="E906" s="1" t="s">
        <v>21</v>
      </c>
      <c r="F906">
        <v>38</v>
      </c>
      <c r="G906" t="s">
        <v>59</v>
      </c>
      <c r="H906" s="2">
        <v>39232</v>
      </c>
      <c r="I906">
        <v>198562</v>
      </c>
      <c r="J906">
        <v>0.22</v>
      </c>
      <c r="K906">
        <v>242245.64</v>
      </c>
      <c r="L906" s="1" t="s">
        <v>23</v>
      </c>
      <c r="M906" s="1" t="s">
        <v>24</v>
      </c>
      <c r="N906" s="2"/>
      <c r="O906">
        <v>905</v>
      </c>
      <c r="P906">
        <v>0</v>
      </c>
      <c r="Q906" t="s">
        <v>25</v>
      </c>
      <c r="R906">
        <f ca="1">DATEDIF(EMP_RAW_Data[[#This Row],[Hire Date]],IF(EMP_RAW_Data[[#This Row],[Exit Date]]="",TODAY(),EMP_RAW_Data[[#This Row],[Exit Date]]),"Y")</f>
        <v>18</v>
      </c>
      <c r="S906" t="str">
        <f>IF(EMP_RAW_Data[[#This Row],[Status]]=1,"Inactive","Active")</f>
        <v>Active</v>
      </c>
    </row>
    <row r="907" spans="1:19" x14ac:dyDescent="0.3">
      <c r="A907" s="1" t="s">
        <v>990</v>
      </c>
      <c r="B907" s="1" t="s">
        <v>45</v>
      </c>
      <c r="C907" s="1" t="s">
        <v>46</v>
      </c>
      <c r="D907" s="1" t="s">
        <v>20</v>
      </c>
      <c r="E907" s="1" t="s">
        <v>21</v>
      </c>
      <c r="F907">
        <v>40</v>
      </c>
      <c r="G907" t="s">
        <v>59</v>
      </c>
      <c r="H907" s="2">
        <v>39960</v>
      </c>
      <c r="I907">
        <v>62411</v>
      </c>
      <c r="J907">
        <v>0</v>
      </c>
      <c r="K907">
        <v>62411</v>
      </c>
      <c r="L907" s="1" t="s">
        <v>23</v>
      </c>
      <c r="M907" s="1" t="s">
        <v>52</v>
      </c>
      <c r="N907" s="2">
        <v>44422</v>
      </c>
      <c r="O907">
        <v>906</v>
      </c>
      <c r="P907">
        <v>1</v>
      </c>
      <c r="Q907" t="s">
        <v>25</v>
      </c>
      <c r="R907">
        <f ca="1">DATEDIF(EMP_RAW_Data[[#This Row],[Hire Date]],IF(EMP_RAW_Data[[#This Row],[Exit Date]]="",TODAY(),EMP_RAW_Data[[#This Row],[Exit Date]]),"Y")</f>
        <v>12</v>
      </c>
      <c r="S907" t="str">
        <f>IF(EMP_RAW_Data[[#This Row],[Status]]=1,"Inactive","Active")</f>
        <v>Inactive</v>
      </c>
    </row>
    <row r="908" spans="1:19" hidden="1" x14ac:dyDescent="0.3">
      <c r="A908" s="1" t="s">
        <v>991</v>
      </c>
      <c r="B908" s="1" t="s">
        <v>89</v>
      </c>
      <c r="C908" s="1" t="s">
        <v>62</v>
      </c>
      <c r="D908" s="1" t="s">
        <v>20</v>
      </c>
      <c r="E908" s="1" t="s">
        <v>29</v>
      </c>
      <c r="F908">
        <v>57</v>
      </c>
      <c r="G908" t="s">
        <v>22</v>
      </c>
      <c r="H908" s="2">
        <v>33612</v>
      </c>
      <c r="I908">
        <v>111299</v>
      </c>
      <c r="J908">
        <v>0.12</v>
      </c>
      <c r="K908">
        <v>124654.88</v>
      </c>
      <c r="L908" s="1" t="s">
        <v>23</v>
      </c>
      <c r="M908" s="1" t="s">
        <v>52</v>
      </c>
      <c r="N908" s="2"/>
      <c r="O908">
        <v>907</v>
      </c>
      <c r="P908">
        <v>0</v>
      </c>
      <c r="Q908" t="s">
        <v>25</v>
      </c>
      <c r="R908">
        <f ca="1">DATEDIF(EMP_RAW_Data[[#This Row],[Hire Date]],IF(EMP_RAW_Data[[#This Row],[Exit Date]]="",TODAY(),EMP_RAW_Data[[#This Row],[Exit Date]]),"Y")</f>
        <v>34</v>
      </c>
      <c r="S908" t="str">
        <f>IF(EMP_RAW_Data[[#This Row],[Status]]=1,"Inactive","Active")</f>
        <v>Active</v>
      </c>
    </row>
    <row r="909" spans="1:19" hidden="1" x14ac:dyDescent="0.3">
      <c r="A909" s="1" t="s">
        <v>992</v>
      </c>
      <c r="B909" s="1" t="s">
        <v>51</v>
      </c>
      <c r="C909" s="1" t="s">
        <v>69</v>
      </c>
      <c r="D909" s="1" t="s">
        <v>20</v>
      </c>
      <c r="E909" s="1" t="s">
        <v>21</v>
      </c>
      <c r="F909">
        <v>43</v>
      </c>
      <c r="G909" t="s">
        <v>59</v>
      </c>
      <c r="H909" s="2">
        <v>43659</v>
      </c>
      <c r="I909">
        <v>41545</v>
      </c>
      <c r="J909">
        <v>0</v>
      </c>
      <c r="K909">
        <v>41545</v>
      </c>
      <c r="L909" s="1" t="s">
        <v>23</v>
      </c>
      <c r="M909" s="1" t="s">
        <v>52</v>
      </c>
      <c r="N909" s="2"/>
      <c r="O909">
        <v>908</v>
      </c>
      <c r="P909">
        <v>0</v>
      </c>
      <c r="Q909" t="s">
        <v>25</v>
      </c>
      <c r="R909">
        <f ca="1">DATEDIF(EMP_RAW_Data[[#This Row],[Hire Date]],IF(EMP_RAW_Data[[#This Row],[Exit Date]]="",TODAY(),EMP_RAW_Data[[#This Row],[Exit Date]]),"Y")</f>
        <v>6</v>
      </c>
      <c r="S909" t="str">
        <f>IF(EMP_RAW_Data[[#This Row],[Status]]=1,"Inactive","Active")</f>
        <v>Active</v>
      </c>
    </row>
    <row r="910" spans="1:19" x14ac:dyDescent="0.3">
      <c r="A910" s="1" t="s">
        <v>993</v>
      </c>
      <c r="B910" s="1" t="s">
        <v>166</v>
      </c>
      <c r="C910" s="1" t="s">
        <v>19</v>
      </c>
      <c r="D910" s="1" t="s">
        <v>28</v>
      </c>
      <c r="E910" s="1" t="s">
        <v>29</v>
      </c>
      <c r="F910">
        <v>26</v>
      </c>
      <c r="G910" t="s">
        <v>40</v>
      </c>
      <c r="H910" s="2">
        <v>43569</v>
      </c>
      <c r="I910">
        <v>74467</v>
      </c>
      <c r="J910">
        <v>0</v>
      </c>
      <c r="K910">
        <v>74467</v>
      </c>
      <c r="L910" s="1" t="s">
        <v>23</v>
      </c>
      <c r="M910" s="1" t="s">
        <v>74</v>
      </c>
      <c r="N910" s="2">
        <v>44211</v>
      </c>
      <c r="O910">
        <v>909</v>
      </c>
      <c r="P910">
        <v>1</v>
      </c>
      <c r="Q910" t="s">
        <v>25</v>
      </c>
      <c r="R910">
        <f ca="1">DATEDIF(EMP_RAW_Data[[#This Row],[Hire Date]],IF(EMP_RAW_Data[[#This Row],[Exit Date]]="",TODAY(),EMP_RAW_Data[[#This Row],[Exit Date]]),"Y")</f>
        <v>1</v>
      </c>
      <c r="S910" t="str">
        <f>IF(EMP_RAW_Data[[#This Row],[Status]]=1,"Inactive","Active")</f>
        <v>Inactive</v>
      </c>
    </row>
    <row r="911" spans="1:19" hidden="1" x14ac:dyDescent="0.3">
      <c r="A911" s="1" t="s">
        <v>994</v>
      </c>
      <c r="B911" s="1" t="s">
        <v>49</v>
      </c>
      <c r="C911" s="1" t="s">
        <v>54</v>
      </c>
      <c r="D911" s="1" t="s">
        <v>20</v>
      </c>
      <c r="E911" s="1" t="s">
        <v>29</v>
      </c>
      <c r="F911">
        <v>44</v>
      </c>
      <c r="G911" t="s">
        <v>59</v>
      </c>
      <c r="H911" s="2">
        <v>37296</v>
      </c>
      <c r="I911">
        <v>117545</v>
      </c>
      <c r="J911">
        <v>0.06</v>
      </c>
      <c r="K911">
        <v>124597.7</v>
      </c>
      <c r="L911" s="1" t="s">
        <v>23</v>
      </c>
      <c r="M911" s="1" t="s">
        <v>43</v>
      </c>
      <c r="N911" s="2"/>
      <c r="O911">
        <v>910</v>
      </c>
      <c r="P911">
        <v>0</v>
      </c>
      <c r="Q911" t="s">
        <v>25</v>
      </c>
      <c r="R911">
        <f ca="1">DATEDIF(EMP_RAW_Data[[#This Row],[Hire Date]],IF(EMP_RAW_Data[[#This Row],[Exit Date]]="",TODAY(),EMP_RAW_Data[[#This Row],[Exit Date]]),"Y")</f>
        <v>24</v>
      </c>
      <c r="S911" t="str">
        <f>IF(EMP_RAW_Data[[#This Row],[Status]]=1,"Inactive","Active")</f>
        <v>Active</v>
      </c>
    </row>
    <row r="912" spans="1:19" hidden="1" x14ac:dyDescent="0.3">
      <c r="A912" s="1" t="s">
        <v>995</v>
      </c>
      <c r="B912" s="1" t="s">
        <v>49</v>
      </c>
      <c r="C912" s="1" t="s">
        <v>58</v>
      </c>
      <c r="D912" s="1" t="s">
        <v>35</v>
      </c>
      <c r="E912" s="1" t="s">
        <v>29</v>
      </c>
      <c r="F912">
        <v>50</v>
      </c>
      <c r="G912" t="s">
        <v>36</v>
      </c>
      <c r="H912" s="2">
        <v>40983</v>
      </c>
      <c r="I912">
        <v>117226</v>
      </c>
      <c r="J912">
        <v>0.08</v>
      </c>
      <c r="K912">
        <v>126604.08</v>
      </c>
      <c r="L912" s="1" t="s">
        <v>23</v>
      </c>
      <c r="M912" s="1" t="s">
        <v>43</v>
      </c>
      <c r="N912" s="2"/>
      <c r="O912">
        <v>911</v>
      </c>
      <c r="P912">
        <v>0</v>
      </c>
      <c r="Q912" t="s">
        <v>25</v>
      </c>
      <c r="R912">
        <f ca="1">DATEDIF(EMP_RAW_Data[[#This Row],[Hire Date]],IF(EMP_RAW_Data[[#This Row],[Exit Date]]="",TODAY(),EMP_RAW_Data[[#This Row],[Exit Date]]),"Y")</f>
        <v>14</v>
      </c>
      <c r="S912" t="str">
        <f>IF(EMP_RAW_Data[[#This Row],[Status]]=1,"Inactive","Active")</f>
        <v>Active</v>
      </c>
    </row>
    <row r="913" spans="1:19" hidden="1" x14ac:dyDescent="0.3">
      <c r="A913" s="1" t="s">
        <v>996</v>
      </c>
      <c r="B913" s="1" t="s">
        <v>51</v>
      </c>
      <c r="C913" s="1" t="s">
        <v>54</v>
      </c>
      <c r="D913" s="1" t="s">
        <v>47</v>
      </c>
      <c r="E913" s="1" t="s">
        <v>21</v>
      </c>
      <c r="F913">
        <v>26</v>
      </c>
      <c r="G913" t="s">
        <v>40</v>
      </c>
      <c r="H913" s="2">
        <v>43489</v>
      </c>
      <c r="I913">
        <v>55767</v>
      </c>
      <c r="J913">
        <v>0</v>
      </c>
      <c r="K913">
        <v>55767</v>
      </c>
      <c r="L913" s="1" t="s">
        <v>23</v>
      </c>
      <c r="M913" s="1" t="s">
        <v>43</v>
      </c>
      <c r="N913" s="2"/>
      <c r="O913">
        <v>912</v>
      </c>
      <c r="P913">
        <v>0</v>
      </c>
      <c r="Q913" t="s">
        <v>25</v>
      </c>
      <c r="R913">
        <f ca="1">DATEDIF(EMP_RAW_Data[[#This Row],[Hire Date]],IF(EMP_RAW_Data[[#This Row],[Exit Date]]="",TODAY(),EMP_RAW_Data[[#This Row],[Exit Date]]),"Y")</f>
        <v>7</v>
      </c>
      <c r="S913" t="str">
        <f>IF(EMP_RAW_Data[[#This Row],[Status]]=1,"Inactive","Active")</f>
        <v>Active</v>
      </c>
    </row>
    <row r="914" spans="1:19" hidden="1" x14ac:dyDescent="0.3">
      <c r="A914" s="1" t="s">
        <v>997</v>
      </c>
      <c r="B914" s="1" t="s">
        <v>96</v>
      </c>
      <c r="C914" s="1" t="s">
        <v>46</v>
      </c>
      <c r="D914" s="1" t="s">
        <v>28</v>
      </c>
      <c r="E914" s="1" t="s">
        <v>21</v>
      </c>
      <c r="F914">
        <v>29</v>
      </c>
      <c r="G914" t="s">
        <v>40</v>
      </c>
      <c r="H914" s="2">
        <v>42691</v>
      </c>
      <c r="I914">
        <v>60930</v>
      </c>
      <c r="J914">
        <v>0</v>
      </c>
      <c r="K914">
        <v>60930</v>
      </c>
      <c r="L914" s="1" t="s">
        <v>23</v>
      </c>
      <c r="M914" s="1" t="s">
        <v>55</v>
      </c>
      <c r="N914" s="2"/>
      <c r="O914">
        <v>913</v>
      </c>
      <c r="P914">
        <v>0</v>
      </c>
      <c r="Q914" t="s">
        <v>25</v>
      </c>
      <c r="R914">
        <f ca="1">DATEDIF(EMP_RAW_Data[[#This Row],[Hire Date]],IF(EMP_RAW_Data[[#This Row],[Exit Date]]="",TODAY(),EMP_RAW_Data[[#This Row],[Exit Date]]),"Y")</f>
        <v>9</v>
      </c>
      <c r="S914" t="str">
        <f>IF(EMP_RAW_Data[[#This Row],[Status]]=1,"Inactive","Active")</f>
        <v>Active</v>
      </c>
    </row>
    <row r="915" spans="1:19" hidden="1" x14ac:dyDescent="0.3">
      <c r="A915" s="1" t="s">
        <v>998</v>
      </c>
      <c r="B915" s="1" t="s">
        <v>33</v>
      </c>
      <c r="C915" s="1" t="s">
        <v>46</v>
      </c>
      <c r="D915" s="1" t="s">
        <v>35</v>
      </c>
      <c r="E915" s="1" t="s">
        <v>21</v>
      </c>
      <c r="F915">
        <v>27</v>
      </c>
      <c r="G915" t="s">
        <v>40</v>
      </c>
      <c r="H915" s="2">
        <v>43397</v>
      </c>
      <c r="I915">
        <v>154973</v>
      </c>
      <c r="J915">
        <v>0.28999999999999998</v>
      </c>
      <c r="K915">
        <v>199915.16999999998</v>
      </c>
      <c r="L915" s="1" t="s">
        <v>77</v>
      </c>
      <c r="M915" s="1" t="s">
        <v>148</v>
      </c>
      <c r="N915" s="2"/>
      <c r="O915">
        <v>914</v>
      </c>
      <c r="P915">
        <v>0</v>
      </c>
      <c r="Q915" t="s">
        <v>25</v>
      </c>
      <c r="R915">
        <f ca="1">DATEDIF(EMP_RAW_Data[[#This Row],[Hire Date]],IF(EMP_RAW_Data[[#This Row],[Exit Date]]="",TODAY(),EMP_RAW_Data[[#This Row],[Exit Date]]),"Y")</f>
        <v>7</v>
      </c>
      <c r="S915" t="str">
        <f>IF(EMP_RAW_Data[[#This Row],[Status]]=1,"Inactive","Active")</f>
        <v>Active</v>
      </c>
    </row>
    <row r="916" spans="1:19" hidden="1" x14ac:dyDescent="0.3">
      <c r="A916" s="1" t="s">
        <v>999</v>
      </c>
      <c r="B916" s="1" t="s">
        <v>142</v>
      </c>
      <c r="C916" s="1" t="s">
        <v>19</v>
      </c>
      <c r="D916" s="1" t="s">
        <v>28</v>
      </c>
      <c r="E916" s="1" t="s">
        <v>21</v>
      </c>
      <c r="F916">
        <v>33</v>
      </c>
      <c r="G916" t="s">
        <v>40</v>
      </c>
      <c r="H916" s="2">
        <v>43029</v>
      </c>
      <c r="I916">
        <v>69332</v>
      </c>
      <c r="J916">
        <v>0</v>
      </c>
      <c r="K916">
        <v>69332</v>
      </c>
      <c r="L916" s="1" t="s">
        <v>23</v>
      </c>
      <c r="M916" s="1" t="s">
        <v>74</v>
      </c>
      <c r="N916" s="2"/>
      <c r="O916">
        <v>915</v>
      </c>
      <c r="P916">
        <v>0</v>
      </c>
      <c r="Q916" t="s">
        <v>25</v>
      </c>
      <c r="R916">
        <f ca="1">DATEDIF(EMP_RAW_Data[[#This Row],[Hire Date]],IF(EMP_RAW_Data[[#This Row],[Exit Date]]="",TODAY(),EMP_RAW_Data[[#This Row],[Exit Date]]),"Y")</f>
        <v>8</v>
      </c>
      <c r="S916" t="str">
        <f>IF(EMP_RAW_Data[[#This Row],[Status]]=1,"Inactive","Active")</f>
        <v>Active</v>
      </c>
    </row>
    <row r="917" spans="1:19" hidden="1" x14ac:dyDescent="0.3">
      <c r="A917" s="1" t="s">
        <v>1000</v>
      </c>
      <c r="B917" s="1" t="s">
        <v>61</v>
      </c>
      <c r="C917" s="1" t="s">
        <v>62</v>
      </c>
      <c r="D917" s="1" t="s">
        <v>20</v>
      </c>
      <c r="E917" s="1" t="s">
        <v>21</v>
      </c>
      <c r="F917">
        <v>59</v>
      </c>
      <c r="G917" t="s">
        <v>22</v>
      </c>
      <c r="H917" s="2">
        <v>36990</v>
      </c>
      <c r="I917">
        <v>119699</v>
      </c>
      <c r="J917">
        <v>0</v>
      </c>
      <c r="K917">
        <v>119699</v>
      </c>
      <c r="L917" s="1" t="s">
        <v>30</v>
      </c>
      <c r="M917" s="1" t="s">
        <v>65</v>
      </c>
      <c r="N917" s="2"/>
      <c r="O917">
        <v>916</v>
      </c>
      <c r="P917">
        <v>0</v>
      </c>
      <c r="Q917" t="s">
        <v>25</v>
      </c>
      <c r="R917">
        <f ca="1">DATEDIF(EMP_RAW_Data[[#This Row],[Hire Date]],IF(EMP_RAW_Data[[#This Row],[Exit Date]]="",TODAY(),EMP_RAW_Data[[#This Row],[Exit Date]]),"Y")</f>
        <v>24</v>
      </c>
      <c r="S917" t="str">
        <f>IF(EMP_RAW_Data[[#This Row],[Status]]=1,"Inactive","Active")</f>
        <v>Active</v>
      </c>
    </row>
    <row r="918" spans="1:19" hidden="1" x14ac:dyDescent="0.3">
      <c r="A918" s="1" t="s">
        <v>1001</v>
      </c>
      <c r="B918" s="1" t="s">
        <v>33</v>
      </c>
      <c r="C918" s="1" t="s">
        <v>58</v>
      </c>
      <c r="D918" s="1" t="s">
        <v>35</v>
      </c>
      <c r="E918" s="1" t="s">
        <v>21</v>
      </c>
      <c r="F918">
        <v>40</v>
      </c>
      <c r="G918" t="s">
        <v>59</v>
      </c>
      <c r="H918" s="2">
        <v>44094</v>
      </c>
      <c r="I918">
        <v>198176</v>
      </c>
      <c r="J918">
        <v>0.17</v>
      </c>
      <c r="K918">
        <v>231865.92</v>
      </c>
      <c r="L918" s="1" t="s">
        <v>77</v>
      </c>
      <c r="M918" s="1" t="s">
        <v>78</v>
      </c>
      <c r="N918" s="2"/>
      <c r="O918">
        <v>917</v>
      </c>
      <c r="P918">
        <v>0</v>
      </c>
      <c r="Q918" t="s">
        <v>25</v>
      </c>
      <c r="R918">
        <f ca="1">DATEDIF(EMP_RAW_Data[[#This Row],[Hire Date]],IF(EMP_RAW_Data[[#This Row],[Exit Date]]="",TODAY(),EMP_RAW_Data[[#This Row],[Exit Date]]),"Y")</f>
        <v>5</v>
      </c>
      <c r="S918" t="str">
        <f>IF(EMP_RAW_Data[[#This Row],[Status]]=1,"Inactive","Active")</f>
        <v>Active</v>
      </c>
    </row>
    <row r="919" spans="1:19" hidden="1" x14ac:dyDescent="0.3">
      <c r="A919" s="1" t="s">
        <v>1002</v>
      </c>
      <c r="B919" s="1" t="s">
        <v>96</v>
      </c>
      <c r="C919" s="1" t="s">
        <v>34</v>
      </c>
      <c r="D919" s="1" t="s">
        <v>20</v>
      </c>
      <c r="E919" s="1" t="s">
        <v>21</v>
      </c>
      <c r="F919">
        <v>45</v>
      </c>
      <c r="G919" t="s">
        <v>36</v>
      </c>
      <c r="H919" s="2">
        <v>41127</v>
      </c>
      <c r="I919">
        <v>58586</v>
      </c>
      <c r="J919">
        <v>0</v>
      </c>
      <c r="K919">
        <v>58586</v>
      </c>
      <c r="L919" s="1" t="s">
        <v>77</v>
      </c>
      <c r="M919" s="1" t="s">
        <v>148</v>
      </c>
      <c r="N919" s="2"/>
      <c r="O919">
        <v>918</v>
      </c>
      <c r="P919">
        <v>0</v>
      </c>
      <c r="Q919" t="s">
        <v>25</v>
      </c>
      <c r="R919">
        <f ca="1">DATEDIF(EMP_RAW_Data[[#This Row],[Hire Date]],IF(EMP_RAW_Data[[#This Row],[Exit Date]]="",TODAY(),EMP_RAW_Data[[#This Row],[Exit Date]]),"Y")</f>
        <v>13</v>
      </c>
      <c r="S919" t="str">
        <f>IF(EMP_RAW_Data[[#This Row],[Status]]=1,"Inactive","Active")</f>
        <v>Active</v>
      </c>
    </row>
    <row r="920" spans="1:19" hidden="1" x14ac:dyDescent="0.3">
      <c r="A920" s="1" t="s">
        <v>1003</v>
      </c>
      <c r="B920" s="1" t="s">
        <v>189</v>
      </c>
      <c r="C920" s="1" t="s">
        <v>46</v>
      </c>
      <c r="D920" s="1" t="s">
        <v>47</v>
      </c>
      <c r="E920" s="1" t="s">
        <v>29</v>
      </c>
      <c r="F920">
        <v>38</v>
      </c>
      <c r="G920" t="s">
        <v>59</v>
      </c>
      <c r="H920" s="2">
        <v>40875</v>
      </c>
      <c r="I920">
        <v>74010</v>
      </c>
      <c r="J920">
        <v>0</v>
      </c>
      <c r="K920">
        <v>74010</v>
      </c>
      <c r="L920" s="1" t="s">
        <v>23</v>
      </c>
      <c r="M920" s="1" t="s">
        <v>37</v>
      </c>
      <c r="N920" s="2"/>
      <c r="O920">
        <v>919</v>
      </c>
      <c r="P920">
        <v>0</v>
      </c>
      <c r="Q920" t="s">
        <v>25</v>
      </c>
      <c r="R920">
        <f ca="1">DATEDIF(EMP_RAW_Data[[#This Row],[Hire Date]],IF(EMP_RAW_Data[[#This Row],[Exit Date]]="",TODAY(),EMP_RAW_Data[[#This Row],[Exit Date]]),"Y")</f>
        <v>14</v>
      </c>
      <c r="S920" t="str">
        <f>IF(EMP_RAW_Data[[#This Row],[Status]]=1,"Inactive","Active")</f>
        <v>Active</v>
      </c>
    </row>
    <row r="921" spans="1:19" hidden="1" x14ac:dyDescent="0.3">
      <c r="A921" s="1" t="s">
        <v>1004</v>
      </c>
      <c r="B921" s="1" t="s">
        <v>189</v>
      </c>
      <c r="C921" s="1" t="s">
        <v>46</v>
      </c>
      <c r="D921" s="1" t="s">
        <v>35</v>
      </c>
      <c r="E921" s="1" t="s">
        <v>29</v>
      </c>
      <c r="F921">
        <v>32</v>
      </c>
      <c r="G921" t="s">
        <v>40</v>
      </c>
      <c r="H921" s="2">
        <v>43864</v>
      </c>
      <c r="I921">
        <v>96598</v>
      </c>
      <c r="J921">
        <v>0</v>
      </c>
      <c r="K921">
        <v>96598</v>
      </c>
      <c r="L921" s="1" t="s">
        <v>23</v>
      </c>
      <c r="M921" s="1" t="s">
        <v>43</v>
      </c>
      <c r="N921" s="2"/>
      <c r="O921">
        <v>920</v>
      </c>
      <c r="P921">
        <v>0</v>
      </c>
      <c r="Q921" t="s">
        <v>25</v>
      </c>
      <c r="R921">
        <f ca="1">DATEDIF(EMP_RAW_Data[[#This Row],[Hire Date]],IF(EMP_RAW_Data[[#This Row],[Exit Date]]="",TODAY(),EMP_RAW_Data[[#This Row],[Exit Date]]),"Y")</f>
        <v>6</v>
      </c>
      <c r="S921" t="str">
        <f>IF(EMP_RAW_Data[[#This Row],[Status]]=1,"Inactive","Active")</f>
        <v>Active</v>
      </c>
    </row>
    <row r="922" spans="1:19" hidden="1" x14ac:dyDescent="0.3">
      <c r="A922" s="1" t="s">
        <v>1005</v>
      </c>
      <c r="B922" s="1" t="s">
        <v>49</v>
      </c>
      <c r="C922" s="1" t="s">
        <v>46</v>
      </c>
      <c r="D922" s="1" t="s">
        <v>35</v>
      </c>
      <c r="E922" s="1" t="s">
        <v>21</v>
      </c>
      <c r="F922">
        <v>64</v>
      </c>
      <c r="G922" t="s">
        <v>22</v>
      </c>
      <c r="H922" s="2">
        <v>37762</v>
      </c>
      <c r="I922">
        <v>106444</v>
      </c>
      <c r="J922">
        <v>0.05</v>
      </c>
      <c r="K922">
        <v>111766.2</v>
      </c>
      <c r="L922" s="1" t="s">
        <v>23</v>
      </c>
      <c r="M922" s="1" t="s">
        <v>43</v>
      </c>
      <c r="N922" s="2"/>
      <c r="O922">
        <v>921</v>
      </c>
      <c r="P922">
        <v>0</v>
      </c>
      <c r="Q922" t="s">
        <v>25</v>
      </c>
      <c r="R922">
        <f ca="1">DATEDIF(EMP_RAW_Data[[#This Row],[Hire Date]],IF(EMP_RAW_Data[[#This Row],[Exit Date]]="",TODAY(),EMP_RAW_Data[[#This Row],[Exit Date]]),"Y")</f>
        <v>22</v>
      </c>
      <c r="S922" t="str">
        <f>IF(EMP_RAW_Data[[#This Row],[Status]]=1,"Inactive","Active")</f>
        <v>Active</v>
      </c>
    </row>
    <row r="923" spans="1:19" hidden="1" x14ac:dyDescent="0.3">
      <c r="A923" s="1" t="s">
        <v>1006</v>
      </c>
      <c r="B923" s="1" t="s">
        <v>33</v>
      </c>
      <c r="C923" s="1" t="s">
        <v>34</v>
      </c>
      <c r="D923" s="1" t="s">
        <v>47</v>
      </c>
      <c r="E923" s="1" t="s">
        <v>29</v>
      </c>
      <c r="F923">
        <v>31</v>
      </c>
      <c r="G923" t="s">
        <v>40</v>
      </c>
      <c r="H923" s="2">
        <v>42957</v>
      </c>
      <c r="I923">
        <v>156931</v>
      </c>
      <c r="J923">
        <v>0.28000000000000003</v>
      </c>
      <c r="K923">
        <v>200871.67999999999</v>
      </c>
      <c r="L923" s="1" t="s">
        <v>23</v>
      </c>
      <c r="M923" s="1" t="s">
        <v>24</v>
      </c>
      <c r="N923" s="2"/>
      <c r="O923">
        <v>922</v>
      </c>
      <c r="P923">
        <v>0</v>
      </c>
      <c r="Q923" t="s">
        <v>25</v>
      </c>
      <c r="R923">
        <f ca="1">DATEDIF(EMP_RAW_Data[[#This Row],[Hire Date]],IF(EMP_RAW_Data[[#This Row],[Exit Date]]="",TODAY(),EMP_RAW_Data[[#This Row],[Exit Date]]),"Y")</f>
        <v>8</v>
      </c>
      <c r="S923" t="str">
        <f>IF(EMP_RAW_Data[[#This Row],[Status]]=1,"Inactive","Active")</f>
        <v>Active</v>
      </c>
    </row>
    <row r="924" spans="1:19" hidden="1" x14ac:dyDescent="0.3">
      <c r="A924" s="1" t="s">
        <v>1007</v>
      </c>
      <c r="B924" s="1" t="s">
        <v>33</v>
      </c>
      <c r="C924" s="1" t="s">
        <v>69</v>
      </c>
      <c r="D924" s="1" t="s">
        <v>20</v>
      </c>
      <c r="E924" s="1" t="s">
        <v>21</v>
      </c>
      <c r="F924">
        <v>43</v>
      </c>
      <c r="G924" t="s">
        <v>59</v>
      </c>
      <c r="H924" s="2">
        <v>41928</v>
      </c>
      <c r="I924">
        <v>171360</v>
      </c>
      <c r="J924">
        <v>0.23</v>
      </c>
      <c r="K924">
        <v>210772.8</v>
      </c>
      <c r="L924" s="1" t="s">
        <v>77</v>
      </c>
      <c r="M924" s="1" t="s">
        <v>78</v>
      </c>
      <c r="N924" s="2"/>
      <c r="O924">
        <v>923</v>
      </c>
      <c r="P924">
        <v>0</v>
      </c>
      <c r="Q924" t="s">
        <v>25</v>
      </c>
      <c r="R924">
        <f ca="1">DATEDIF(EMP_RAW_Data[[#This Row],[Hire Date]],IF(EMP_RAW_Data[[#This Row],[Exit Date]]="",TODAY(),EMP_RAW_Data[[#This Row],[Exit Date]]),"Y")</f>
        <v>11</v>
      </c>
      <c r="S924" t="str">
        <f>IF(EMP_RAW_Data[[#This Row],[Status]]=1,"Inactive","Active")</f>
        <v>Active</v>
      </c>
    </row>
    <row r="925" spans="1:19" hidden="1" x14ac:dyDescent="0.3">
      <c r="A925" s="1" t="s">
        <v>1008</v>
      </c>
      <c r="B925" s="1" t="s">
        <v>100</v>
      </c>
      <c r="C925" s="1" t="s">
        <v>19</v>
      </c>
      <c r="D925" s="1" t="s">
        <v>20</v>
      </c>
      <c r="E925" s="1" t="s">
        <v>21</v>
      </c>
      <c r="F925">
        <v>45</v>
      </c>
      <c r="G925" t="s">
        <v>36</v>
      </c>
      <c r="H925" s="2">
        <v>39908</v>
      </c>
      <c r="I925">
        <v>64505</v>
      </c>
      <c r="J925">
        <v>0</v>
      </c>
      <c r="K925">
        <v>64505</v>
      </c>
      <c r="L925" s="1" t="s">
        <v>23</v>
      </c>
      <c r="M925" s="1" t="s">
        <v>52</v>
      </c>
      <c r="N925" s="2"/>
      <c r="O925">
        <v>924</v>
      </c>
      <c r="P925">
        <v>0</v>
      </c>
      <c r="Q925" t="s">
        <v>25</v>
      </c>
      <c r="R925">
        <f ca="1">DATEDIF(EMP_RAW_Data[[#This Row],[Hire Date]],IF(EMP_RAW_Data[[#This Row],[Exit Date]]="",TODAY(),EMP_RAW_Data[[#This Row],[Exit Date]]),"Y")</f>
        <v>16</v>
      </c>
      <c r="S925" t="str">
        <f>IF(EMP_RAW_Data[[#This Row],[Status]]=1,"Inactive","Active")</f>
        <v>Active</v>
      </c>
    </row>
    <row r="926" spans="1:19" hidden="1" x14ac:dyDescent="0.3">
      <c r="A926" s="1" t="s">
        <v>1009</v>
      </c>
      <c r="B926" s="1" t="s">
        <v>89</v>
      </c>
      <c r="C926" s="1" t="s">
        <v>62</v>
      </c>
      <c r="D926" s="1" t="s">
        <v>35</v>
      </c>
      <c r="E926" s="1" t="s">
        <v>29</v>
      </c>
      <c r="F926">
        <v>32</v>
      </c>
      <c r="G926" t="s">
        <v>40</v>
      </c>
      <c r="H926" s="2">
        <v>44478</v>
      </c>
      <c r="I926">
        <v>102298</v>
      </c>
      <c r="J926">
        <v>0.13</v>
      </c>
      <c r="K926">
        <v>115596.74</v>
      </c>
      <c r="L926" s="1" t="s">
        <v>77</v>
      </c>
      <c r="M926" s="1" t="s">
        <v>81</v>
      </c>
      <c r="N926" s="2"/>
      <c r="O926">
        <v>925</v>
      </c>
      <c r="P926">
        <v>0</v>
      </c>
      <c r="Q926" t="s">
        <v>25</v>
      </c>
      <c r="R926">
        <f ca="1">DATEDIF(EMP_RAW_Data[[#This Row],[Hire Date]],IF(EMP_RAW_Data[[#This Row],[Exit Date]]="",TODAY(),EMP_RAW_Data[[#This Row],[Exit Date]]),"Y")</f>
        <v>4</v>
      </c>
      <c r="S926" t="str">
        <f>IF(EMP_RAW_Data[[#This Row],[Status]]=1,"Inactive","Active")</f>
        <v>Active</v>
      </c>
    </row>
    <row r="927" spans="1:19" hidden="1" x14ac:dyDescent="0.3">
      <c r="A927" s="1" t="s">
        <v>1010</v>
      </c>
      <c r="B927" s="1" t="s">
        <v>18</v>
      </c>
      <c r="C927" s="1" t="s">
        <v>46</v>
      </c>
      <c r="D927" s="1" t="s">
        <v>47</v>
      </c>
      <c r="E927" s="1" t="s">
        <v>21</v>
      </c>
      <c r="F927">
        <v>27</v>
      </c>
      <c r="G927" t="s">
        <v>40</v>
      </c>
      <c r="H927" s="2">
        <v>43721</v>
      </c>
      <c r="I927">
        <v>133297</v>
      </c>
      <c r="J927">
        <v>0.13</v>
      </c>
      <c r="K927">
        <v>150625.60999999999</v>
      </c>
      <c r="L927" s="1" t="s">
        <v>77</v>
      </c>
      <c r="M927" s="1" t="s">
        <v>81</v>
      </c>
      <c r="N927" s="2"/>
      <c r="O927">
        <v>926</v>
      </c>
      <c r="P927">
        <v>0</v>
      </c>
      <c r="Q927" t="s">
        <v>25</v>
      </c>
      <c r="R927">
        <f ca="1">DATEDIF(EMP_RAW_Data[[#This Row],[Hire Date]],IF(EMP_RAW_Data[[#This Row],[Exit Date]]="",TODAY(),EMP_RAW_Data[[#This Row],[Exit Date]]),"Y")</f>
        <v>6</v>
      </c>
      <c r="S927" t="str">
        <f>IF(EMP_RAW_Data[[#This Row],[Status]]=1,"Inactive","Active")</f>
        <v>Active</v>
      </c>
    </row>
    <row r="928" spans="1:19" hidden="1" x14ac:dyDescent="0.3">
      <c r="A928" s="1" t="s">
        <v>1011</v>
      </c>
      <c r="B928" s="1" t="s">
        <v>18</v>
      </c>
      <c r="C928" s="1" t="s">
        <v>58</v>
      </c>
      <c r="D928" s="1" t="s">
        <v>35</v>
      </c>
      <c r="E928" s="1" t="s">
        <v>21</v>
      </c>
      <c r="F928">
        <v>25</v>
      </c>
      <c r="G928" t="s">
        <v>40</v>
      </c>
      <c r="H928" s="2">
        <v>44272</v>
      </c>
      <c r="I928">
        <v>155080</v>
      </c>
      <c r="J928">
        <v>0.1</v>
      </c>
      <c r="K928">
        <v>170588</v>
      </c>
      <c r="L928" s="1" t="s">
        <v>23</v>
      </c>
      <c r="M928" s="1" t="s">
        <v>55</v>
      </c>
      <c r="N928" s="2"/>
      <c r="O928">
        <v>927</v>
      </c>
      <c r="P928">
        <v>0</v>
      </c>
      <c r="Q928" t="s">
        <v>25</v>
      </c>
      <c r="R928">
        <f ca="1">DATEDIF(EMP_RAW_Data[[#This Row],[Hire Date]],IF(EMP_RAW_Data[[#This Row],[Exit Date]]="",TODAY(),EMP_RAW_Data[[#This Row],[Exit Date]]),"Y")</f>
        <v>5</v>
      </c>
      <c r="S928" t="str">
        <f>IF(EMP_RAW_Data[[#This Row],[Status]]=1,"Inactive","Active")</f>
        <v>Active</v>
      </c>
    </row>
    <row r="929" spans="1:19" hidden="1" x14ac:dyDescent="0.3">
      <c r="A929" s="1" t="s">
        <v>1012</v>
      </c>
      <c r="B929" s="1" t="s">
        <v>42</v>
      </c>
      <c r="C929" s="1" t="s">
        <v>46</v>
      </c>
      <c r="D929" s="1" t="s">
        <v>35</v>
      </c>
      <c r="E929" s="1" t="s">
        <v>29</v>
      </c>
      <c r="F929">
        <v>31</v>
      </c>
      <c r="G929" t="s">
        <v>40</v>
      </c>
      <c r="H929" s="2">
        <v>43325</v>
      </c>
      <c r="I929">
        <v>81828</v>
      </c>
      <c r="J929">
        <v>0</v>
      </c>
      <c r="K929">
        <v>81828</v>
      </c>
      <c r="L929" s="1" t="s">
        <v>23</v>
      </c>
      <c r="M929" s="1" t="s">
        <v>52</v>
      </c>
      <c r="N929" s="2"/>
      <c r="O929">
        <v>928</v>
      </c>
      <c r="P929">
        <v>0</v>
      </c>
      <c r="Q929" t="s">
        <v>25</v>
      </c>
      <c r="R929">
        <f ca="1">DATEDIF(EMP_RAW_Data[[#This Row],[Hire Date]],IF(EMP_RAW_Data[[#This Row],[Exit Date]]="",TODAY(),EMP_RAW_Data[[#This Row],[Exit Date]]),"Y")</f>
        <v>7</v>
      </c>
      <c r="S929" t="str">
        <f>IF(EMP_RAW_Data[[#This Row],[Status]]=1,"Inactive","Active")</f>
        <v>Active</v>
      </c>
    </row>
    <row r="930" spans="1:19" hidden="1" x14ac:dyDescent="0.3">
      <c r="A930" s="1" t="s">
        <v>1013</v>
      </c>
      <c r="B930" s="1" t="s">
        <v>18</v>
      </c>
      <c r="C930" s="1" t="s">
        <v>69</v>
      </c>
      <c r="D930" s="1" t="s">
        <v>47</v>
      </c>
      <c r="E930" s="1" t="s">
        <v>21</v>
      </c>
      <c r="F930">
        <v>65</v>
      </c>
      <c r="G930" t="s">
        <v>71</v>
      </c>
      <c r="H930" s="2">
        <v>36823</v>
      </c>
      <c r="I930">
        <v>149417</v>
      </c>
      <c r="J930">
        <v>0.13</v>
      </c>
      <c r="K930">
        <v>168841.21</v>
      </c>
      <c r="L930" s="1" t="s">
        <v>30</v>
      </c>
      <c r="M930" s="1" t="s">
        <v>102</v>
      </c>
      <c r="N930" s="2"/>
      <c r="O930">
        <v>929</v>
      </c>
      <c r="P930">
        <v>0</v>
      </c>
      <c r="Q930" t="s">
        <v>25</v>
      </c>
      <c r="R930">
        <f ca="1">DATEDIF(EMP_RAW_Data[[#This Row],[Hire Date]],IF(EMP_RAW_Data[[#This Row],[Exit Date]]="",TODAY(),EMP_RAW_Data[[#This Row],[Exit Date]]),"Y")</f>
        <v>25</v>
      </c>
      <c r="S930" t="str">
        <f>IF(EMP_RAW_Data[[#This Row],[Status]]=1,"Inactive","Active")</f>
        <v>Active</v>
      </c>
    </row>
    <row r="931" spans="1:19" hidden="1" x14ac:dyDescent="0.3">
      <c r="A931" s="1" t="s">
        <v>1014</v>
      </c>
      <c r="B931" s="1" t="s">
        <v>49</v>
      </c>
      <c r="C931" s="1" t="s">
        <v>46</v>
      </c>
      <c r="D931" s="1" t="s">
        <v>47</v>
      </c>
      <c r="E931" s="1" t="s">
        <v>29</v>
      </c>
      <c r="F931">
        <v>50</v>
      </c>
      <c r="G931" t="s">
        <v>36</v>
      </c>
      <c r="H931" s="2">
        <v>41024</v>
      </c>
      <c r="I931">
        <v>113269</v>
      </c>
      <c r="J931">
        <v>0.09</v>
      </c>
      <c r="K931">
        <v>123463.20999999999</v>
      </c>
      <c r="L931" s="1" t="s">
        <v>77</v>
      </c>
      <c r="M931" s="1" t="s">
        <v>148</v>
      </c>
      <c r="N931" s="2"/>
      <c r="O931">
        <v>930</v>
      </c>
      <c r="P931">
        <v>0</v>
      </c>
      <c r="Q931" t="s">
        <v>25</v>
      </c>
      <c r="R931">
        <f ca="1">DATEDIF(EMP_RAW_Data[[#This Row],[Hire Date]],IF(EMP_RAW_Data[[#This Row],[Exit Date]]="",TODAY(),EMP_RAW_Data[[#This Row],[Exit Date]]),"Y")</f>
        <v>13</v>
      </c>
      <c r="S931" t="str">
        <f>IF(EMP_RAW_Data[[#This Row],[Status]]=1,"Inactive","Active")</f>
        <v>Active</v>
      </c>
    </row>
    <row r="932" spans="1:19" hidden="1" x14ac:dyDescent="0.3">
      <c r="A932" s="1" t="s">
        <v>1015</v>
      </c>
      <c r="B932" s="1" t="s">
        <v>18</v>
      </c>
      <c r="C932" s="1" t="s">
        <v>19</v>
      </c>
      <c r="D932" s="1" t="s">
        <v>28</v>
      </c>
      <c r="E932" s="1" t="s">
        <v>29</v>
      </c>
      <c r="F932">
        <v>46</v>
      </c>
      <c r="G932" t="s">
        <v>36</v>
      </c>
      <c r="H932" s="2">
        <v>43085</v>
      </c>
      <c r="I932">
        <v>136716</v>
      </c>
      <c r="J932">
        <v>0.12</v>
      </c>
      <c r="K932">
        <v>153121.91999999998</v>
      </c>
      <c r="L932" s="1" t="s">
        <v>23</v>
      </c>
      <c r="M932" s="1" t="s">
        <v>55</v>
      </c>
      <c r="N932" s="2"/>
      <c r="O932">
        <v>931</v>
      </c>
      <c r="P932">
        <v>0</v>
      </c>
      <c r="Q932" t="s">
        <v>25</v>
      </c>
      <c r="R932">
        <f ca="1">DATEDIF(EMP_RAW_Data[[#This Row],[Hire Date]],IF(EMP_RAW_Data[[#This Row],[Exit Date]]="",TODAY(),EMP_RAW_Data[[#This Row],[Exit Date]]),"Y")</f>
        <v>8</v>
      </c>
      <c r="S932" t="str">
        <f>IF(EMP_RAW_Data[[#This Row],[Status]]=1,"Inactive","Active")</f>
        <v>Active</v>
      </c>
    </row>
    <row r="933" spans="1:19" hidden="1" x14ac:dyDescent="0.3">
      <c r="A933" s="1" t="s">
        <v>1016</v>
      </c>
      <c r="B933" s="1" t="s">
        <v>18</v>
      </c>
      <c r="C933" s="1" t="s">
        <v>46</v>
      </c>
      <c r="D933" s="1" t="s">
        <v>35</v>
      </c>
      <c r="E933" s="1" t="s">
        <v>29</v>
      </c>
      <c r="F933">
        <v>54</v>
      </c>
      <c r="G933" t="s">
        <v>36</v>
      </c>
      <c r="H933" s="2">
        <v>40836</v>
      </c>
      <c r="I933">
        <v>122644</v>
      </c>
      <c r="J933">
        <v>0.12</v>
      </c>
      <c r="K933">
        <v>137361.28</v>
      </c>
      <c r="L933" s="1" t="s">
        <v>23</v>
      </c>
      <c r="M933" s="1" t="s">
        <v>55</v>
      </c>
      <c r="N933" s="2"/>
      <c r="O933">
        <v>932</v>
      </c>
      <c r="P933">
        <v>0</v>
      </c>
      <c r="Q933" t="s">
        <v>25</v>
      </c>
      <c r="R933">
        <f ca="1">DATEDIF(EMP_RAW_Data[[#This Row],[Hire Date]],IF(EMP_RAW_Data[[#This Row],[Exit Date]]="",TODAY(),EMP_RAW_Data[[#This Row],[Exit Date]]),"Y")</f>
        <v>14</v>
      </c>
      <c r="S933" t="str">
        <f>IF(EMP_RAW_Data[[#This Row],[Status]]=1,"Inactive","Active")</f>
        <v>Active</v>
      </c>
    </row>
    <row r="934" spans="1:19" hidden="1" x14ac:dyDescent="0.3">
      <c r="A934" s="1" t="s">
        <v>1017</v>
      </c>
      <c r="B934" s="1" t="s">
        <v>49</v>
      </c>
      <c r="C934" s="1" t="s">
        <v>46</v>
      </c>
      <c r="D934" s="1" t="s">
        <v>20</v>
      </c>
      <c r="E934" s="1" t="s">
        <v>21</v>
      </c>
      <c r="F934">
        <v>50</v>
      </c>
      <c r="G934" t="s">
        <v>36</v>
      </c>
      <c r="H934" s="2">
        <v>36653</v>
      </c>
      <c r="I934">
        <v>106428</v>
      </c>
      <c r="J934">
        <v>7.0000000000000007E-2</v>
      </c>
      <c r="K934">
        <v>113877.96</v>
      </c>
      <c r="L934" s="1" t="s">
        <v>23</v>
      </c>
      <c r="M934" s="1" t="s">
        <v>37</v>
      </c>
      <c r="N934" s="2"/>
      <c r="O934">
        <v>933</v>
      </c>
      <c r="P934">
        <v>0</v>
      </c>
      <c r="Q934" t="s">
        <v>25</v>
      </c>
      <c r="R934">
        <f ca="1">DATEDIF(EMP_RAW_Data[[#This Row],[Hire Date]],IF(EMP_RAW_Data[[#This Row],[Exit Date]]="",TODAY(),EMP_RAW_Data[[#This Row],[Exit Date]]),"Y")</f>
        <v>25</v>
      </c>
      <c r="S934" t="str">
        <f>IF(EMP_RAW_Data[[#This Row],[Status]]=1,"Inactive","Active")</f>
        <v>Active</v>
      </c>
    </row>
    <row r="935" spans="1:19" hidden="1" x14ac:dyDescent="0.3">
      <c r="A935" s="1" t="s">
        <v>1018</v>
      </c>
      <c r="B935" s="1" t="s">
        <v>68</v>
      </c>
      <c r="C935" s="1" t="s">
        <v>34</v>
      </c>
      <c r="D935" s="1" t="s">
        <v>47</v>
      </c>
      <c r="E935" s="1" t="s">
        <v>29</v>
      </c>
      <c r="F935">
        <v>36</v>
      </c>
      <c r="G935" t="s">
        <v>59</v>
      </c>
      <c r="H935" s="2">
        <v>39830</v>
      </c>
      <c r="I935">
        <v>238236</v>
      </c>
      <c r="J935">
        <v>0.31</v>
      </c>
      <c r="K935">
        <v>312089.16000000003</v>
      </c>
      <c r="L935" s="1" t="s">
        <v>23</v>
      </c>
      <c r="M935" s="1" t="s">
        <v>24</v>
      </c>
      <c r="N935" s="2"/>
      <c r="O935">
        <v>934</v>
      </c>
      <c r="P935">
        <v>0</v>
      </c>
      <c r="Q935" t="s">
        <v>25</v>
      </c>
      <c r="R935">
        <f ca="1">DATEDIF(EMP_RAW_Data[[#This Row],[Hire Date]],IF(EMP_RAW_Data[[#This Row],[Exit Date]]="",TODAY(),EMP_RAW_Data[[#This Row],[Exit Date]]),"Y")</f>
        <v>17</v>
      </c>
      <c r="S935" t="str">
        <f>IF(EMP_RAW_Data[[#This Row],[Status]]=1,"Inactive","Active")</f>
        <v>Active</v>
      </c>
    </row>
    <row r="936" spans="1:19" hidden="1" x14ac:dyDescent="0.3">
      <c r="A936" s="1" t="s">
        <v>1019</v>
      </c>
      <c r="B936" s="1" t="s">
        <v>33</v>
      </c>
      <c r="C936" s="1" t="s">
        <v>34</v>
      </c>
      <c r="D936" s="1" t="s">
        <v>47</v>
      </c>
      <c r="E936" s="1" t="s">
        <v>21</v>
      </c>
      <c r="F936">
        <v>64</v>
      </c>
      <c r="G936" t="s">
        <v>22</v>
      </c>
      <c r="H936" s="2">
        <v>41264</v>
      </c>
      <c r="I936">
        <v>153253</v>
      </c>
      <c r="J936">
        <v>0.24</v>
      </c>
      <c r="K936">
        <v>190033.72</v>
      </c>
      <c r="L936" s="1" t="s">
        <v>23</v>
      </c>
      <c r="M936" s="1" t="s">
        <v>55</v>
      </c>
      <c r="N936" s="2"/>
      <c r="O936">
        <v>935</v>
      </c>
      <c r="P936">
        <v>0</v>
      </c>
      <c r="Q936" t="s">
        <v>25</v>
      </c>
      <c r="R936">
        <f ca="1">DATEDIF(EMP_RAW_Data[[#This Row],[Hire Date]],IF(EMP_RAW_Data[[#This Row],[Exit Date]]="",TODAY(),EMP_RAW_Data[[#This Row],[Exit Date]]),"Y")</f>
        <v>13</v>
      </c>
      <c r="S936" t="str">
        <f>IF(EMP_RAW_Data[[#This Row],[Status]]=1,"Inactive","Active")</f>
        <v>Active</v>
      </c>
    </row>
    <row r="937" spans="1:19" hidden="1" x14ac:dyDescent="0.3">
      <c r="A937" s="1" t="s">
        <v>1020</v>
      </c>
      <c r="B937" s="1" t="s">
        <v>49</v>
      </c>
      <c r="C937" s="1" t="s">
        <v>54</v>
      </c>
      <c r="D937" s="1" t="s">
        <v>28</v>
      </c>
      <c r="E937" s="1" t="s">
        <v>21</v>
      </c>
      <c r="F937">
        <v>34</v>
      </c>
      <c r="G937" t="s">
        <v>40</v>
      </c>
      <c r="H937" s="2">
        <v>41915</v>
      </c>
      <c r="I937">
        <v>103707</v>
      </c>
      <c r="J937">
        <v>0.09</v>
      </c>
      <c r="K937">
        <v>113040.63</v>
      </c>
      <c r="L937" s="1" t="s">
        <v>23</v>
      </c>
      <c r="M937" s="1" t="s">
        <v>74</v>
      </c>
      <c r="N937" s="2"/>
      <c r="O937">
        <v>936</v>
      </c>
      <c r="P937">
        <v>0</v>
      </c>
      <c r="Q937" t="s">
        <v>25</v>
      </c>
      <c r="R937">
        <f ca="1">DATEDIF(EMP_RAW_Data[[#This Row],[Hire Date]],IF(EMP_RAW_Data[[#This Row],[Exit Date]]="",TODAY(),EMP_RAW_Data[[#This Row],[Exit Date]]),"Y")</f>
        <v>11</v>
      </c>
      <c r="S937" t="str">
        <f>IF(EMP_RAW_Data[[#This Row],[Status]]=1,"Inactive","Active")</f>
        <v>Active</v>
      </c>
    </row>
    <row r="938" spans="1:19" hidden="1" x14ac:dyDescent="0.3">
      <c r="A938" s="1" t="s">
        <v>1021</v>
      </c>
      <c r="B938" s="1" t="s">
        <v>68</v>
      </c>
      <c r="C938" s="1" t="s">
        <v>54</v>
      </c>
      <c r="D938" s="1" t="s">
        <v>35</v>
      </c>
      <c r="E938" s="1" t="s">
        <v>21</v>
      </c>
      <c r="F938">
        <v>41</v>
      </c>
      <c r="G938" t="s">
        <v>59</v>
      </c>
      <c r="H938" s="2">
        <v>41130</v>
      </c>
      <c r="I938">
        <v>245360</v>
      </c>
      <c r="J938">
        <v>0.37</v>
      </c>
      <c r="K938">
        <v>336143.2</v>
      </c>
      <c r="L938" s="1" t="s">
        <v>23</v>
      </c>
      <c r="M938" s="1" t="s">
        <v>55</v>
      </c>
      <c r="N938" s="2"/>
      <c r="O938">
        <v>937</v>
      </c>
      <c r="P938">
        <v>0</v>
      </c>
      <c r="Q938" t="s">
        <v>25</v>
      </c>
      <c r="R938">
        <f ca="1">DATEDIF(EMP_RAW_Data[[#This Row],[Hire Date]],IF(EMP_RAW_Data[[#This Row],[Exit Date]]="",TODAY(),EMP_RAW_Data[[#This Row],[Exit Date]]),"Y")</f>
        <v>13</v>
      </c>
      <c r="S938" t="str">
        <f>IF(EMP_RAW_Data[[#This Row],[Status]]=1,"Inactive","Active")</f>
        <v>Active</v>
      </c>
    </row>
    <row r="939" spans="1:19" hidden="1" x14ac:dyDescent="0.3">
      <c r="A939" s="1" t="s">
        <v>1022</v>
      </c>
      <c r="B939" s="1" t="s">
        <v>180</v>
      </c>
      <c r="C939" s="1" t="s">
        <v>62</v>
      </c>
      <c r="D939" s="1" t="s">
        <v>35</v>
      </c>
      <c r="E939" s="1" t="s">
        <v>29</v>
      </c>
      <c r="F939">
        <v>25</v>
      </c>
      <c r="G939" t="s">
        <v>40</v>
      </c>
      <c r="H939" s="2">
        <v>44385</v>
      </c>
      <c r="I939">
        <v>67275</v>
      </c>
      <c r="J939">
        <v>0</v>
      </c>
      <c r="K939">
        <v>67275</v>
      </c>
      <c r="L939" s="1" t="s">
        <v>23</v>
      </c>
      <c r="M939" s="1" t="s">
        <v>74</v>
      </c>
      <c r="N939" s="2"/>
      <c r="O939">
        <v>938</v>
      </c>
      <c r="P939">
        <v>0</v>
      </c>
      <c r="Q939" t="s">
        <v>25</v>
      </c>
      <c r="R939">
        <f ca="1">DATEDIF(EMP_RAW_Data[[#This Row],[Hire Date]],IF(EMP_RAW_Data[[#This Row],[Exit Date]]="",TODAY(),EMP_RAW_Data[[#This Row],[Exit Date]]),"Y")</f>
        <v>4</v>
      </c>
      <c r="S939" t="str">
        <f>IF(EMP_RAW_Data[[#This Row],[Status]]=1,"Inactive","Active")</f>
        <v>Active</v>
      </c>
    </row>
    <row r="940" spans="1:19" hidden="1" x14ac:dyDescent="0.3">
      <c r="A940" s="1" t="s">
        <v>1023</v>
      </c>
      <c r="B940" s="1" t="s">
        <v>49</v>
      </c>
      <c r="C940" s="1" t="s">
        <v>19</v>
      </c>
      <c r="D940" s="1" t="s">
        <v>28</v>
      </c>
      <c r="E940" s="1" t="s">
        <v>29</v>
      </c>
      <c r="F940">
        <v>45</v>
      </c>
      <c r="G940" t="s">
        <v>36</v>
      </c>
      <c r="H940" s="2">
        <v>42026</v>
      </c>
      <c r="I940">
        <v>101288</v>
      </c>
      <c r="J940">
        <v>0.1</v>
      </c>
      <c r="K940">
        <v>111416.8</v>
      </c>
      <c r="L940" s="1" t="s">
        <v>23</v>
      </c>
      <c r="M940" s="1" t="s">
        <v>43</v>
      </c>
      <c r="N940" s="2"/>
      <c r="O940">
        <v>939</v>
      </c>
      <c r="P940">
        <v>0</v>
      </c>
      <c r="Q940" t="s">
        <v>25</v>
      </c>
      <c r="R940">
        <f ca="1">DATEDIF(EMP_RAW_Data[[#This Row],[Hire Date]],IF(EMP_RAW_Data[[#This Row],[Exit Date]]="",TODAY(),EMP_RAW_Data[[#This Row],[Exit Date]]),"Y")</f>
        <v>11</v>
      </c>
      <c r="S940" t="str">
        <f>IF(EMP_RAW_Data[[#This Row],[Status]]=1,"Inactive","Active")</f>
        <v>Active</v>
      </c>
    </row>
    <row r="941" spans="1:19" hidden="1" x14ac:dyDescent="0.3">
      <c r="A941" s="1" t="s">
        <v>1024</v>
      </c>
      <c r="B941" s="1" t="s">
        <v>33</v>
      </c>
      <c r="C941" s="1" t="s">
        <v>58</v>
      </c>
      <c r="D941" s="1" t="s">
        <v>35</v>
      </c>
      <c r="E941" s="1" t="s">
        <v>21</v>
      </c>
      <c r="F941">
        <v>52</v>
      </c>
      <c r="G941" t="s">
        <v>36</v>
      </c>
      <c r="H941" s="2">
        <v>34209</v>
      </c>
      <c r="I941">
        <v>177443</v>
      </c>
      <c r="J941">
        <v>0.25</v>
      </c>
      <c r="K941">
        <v>221803.75</v>
      </c>
      <c r="L941" s="1" t="s">
        <v>77</v>
      </c>
      <c r="M941" s="1" t="s">
        <v>148</v>
      </c>
      <c r="N941" s="2"/>
      <c r="O941">
        <v>940</v>
      </c>
      <c r="P941">
        <v>0</v>
      </c>
      <c r="Q941" t="s">
        <v>25</v>
      </c>
      <c r="R941">
        <f ca="1">DATEDIF(EMP_RAW_Data[[#This Row],[Hire Date]],IF(EMP_RAW_Data[[#This Row],[Exit Date]]="",TODAY(),EMP_RAW_Data[[#This Row],[Exit Date]]),"Y")</f>
        <v>32</v>
      </c>
      <c r="S941" t="str">
        <f>IF(EMP_RAW_Data[[#This Row],[Status]]=1,"Inactive","Active")</f>
        <v>Active</v>
      </c>
    </row>
    <row r="942" spans="1:19" hidden="1" x14ac:dyDescent="0.3">
      <c r="A942" s="1" t="s">
        <v>1025</v>
      </c>
      <c r="B942" s="1" t="s">
        <v>142</v>
      </c>
      <c r="C942" s="1" t="s">
        <v>19</v>
      </c>
      <c r="D942" s="1" t="s">
        <v>28</v>
      </c>
      <c r="E942" s="1" t="s">
        <v>21</v>
      </c>
      <c r="F942">
        <v>37</v>
      </c>
      <c r="G942" t="s">
        <v>59</v>
      </c>
      <c r="H942" s="2">
        <v>42487</v>
      </c>
      <c r="I942">
        <v>91400</v>
      </c>
      <c r="J942">
        <v>0</v>
      </c>
      <c r="K942">
        <v>91400</v>
      </c>
      <c r="L942" s="1" t="s">
        <v>23</v>
      </c>
      <c r="M942" s="1" t="s">
        <v>37</v>
      </c>
      <c r="N942" s="2"/>
      <c r="O942">
        <v>941</v>
      </c>
      <c r="P942">
        <v>0</v>
      </c>
      <c r="Q942" t="s">
        <v>25</v>
      </c>
      <c r="R942">
        <f ca="1">DATEDIF(EMP_RAW_Data[[#This Row],[Hire Date]],IF(EMP_RAW_Data[[#This Row],[Exit Date]]="",TODAY(),EMP_RAW_Data[[#This Row],[Exit Date]]),"Y")</f>
        <v>9</v>
      </c>
      <c r="S942" t="str">
        <f>IF(EMP_RAW_Data[[#This Row],[Status]]=1,"Inactive","Active")</f>
        <v>Active</v>
      </c>
    </row>
    <row r="943" spans="1:19" hidden="1" x14ac:dyDescent="0.3">
      <c r="A943" s="1" t="s">
        <v>1026</v>
      </c>
      <c r="B943" s="1" t="s">
        <v>68</v>
      </c>
      <c r="C943" s="1" t="s">
        <v>58</v>
      </c>
      <c r="D943" s="1" t="s">
        <v>47</v>
      </c>
      <c r="E943" s="1" t="s">
        <v>29</v>
      </c>
      <c r="F943">
        <v>44</v>
      </c>
      <c r="G943" t="s">
        <v>59</v>
      </c>
      <c r="H943" s="2">
        <v>39335</v>
      </c>
      <c r="I943">
        <v>181247</v>
      </c>
      <c r="J943">
        <v>0.33</v>
      </c>
      <c r="K943">
        <v>241058.51</v>
      </c>
      <c r="L943" s="1" t="s">
        <v>77</v>
      </c>
      <c r="M943" s="1" t="s">
        <v>148</v>
      </c>
      <c r="N943" s="2"/>
      <c r="O943">
        <v>942</v>
      </c>
      <c r="P943">
        <v>0</v>
      </c>
      <c r="Q943" t="s">
        <v>25</v>
      </c>
      <c r="R943">
        <f ca="1">DATEDIF(EMP_RAW_Data[[#This Row],[Hire Date]],IF(EMP_RAW_Data[[#This Row],[Exit Date]]="",TODAY(),EMP_RAW_Data[[#This Row],[Exit Date]]),"Y")</f>
        <v>18</v>
      </c>
      <c r="S943" t="str">
        <f>IF(EMP_RAW_Data[[#This Row],[Status]]=1,"Inactive","Active")</f>
        <v>Active</v>
      </c>
    </row>
    <row r="944" spans="1:19" hidden="1" x14ac:dyDescent="0.3">
      <c r="A944" s="1" t="s">
        <v>1027</v>
      </c>
      <c r="B944" s="1" t="s">
        <v>18</v>
      </c>
      <c r="C944" s="1" t="s">
        <v>58</v>
      </c>
      <c r="D944" s="1" t="s">
        <v>20</v>
      </c>
      <c r="E944" s="1" t="s">
        <v>29</v>
      </c>
      <c r="F944">
        <v>42</v>
      </c>
      <c r="G944" t="s">
        <v>59</v>
      </c>
      <c r="H944" s="2">
        <v>37914</v>
      </c>
      <c r="I944">
        <v>135558</v>
      </c>
      <c r="J944">
        <v>0.14000000000000001</v>
      </c>
      <c r="K944">
        <v>154536.12</v>
      </c>
      <c r="L944" s="1" t="s">
        <v>23</v>
      </c>
      <c r="M944" s="1" t="s">
        <v>43</v>
      </c>
      <c r="N944" s="2"/>
      <c r="O944">
        <v>943</v>
      </c>
      <c r="P944">
        <v>0</v>
      </c>
      <c r="Q944" t="s">
        <v>25</v>
      </c>
      <c r="R944">
        <f ca="1">DATEDIF(EMP_RAW_Data[[#This Row],[Hire Date]],IF(EMP_RAW_Data[[#This Row],[Exit Date]]="",TODAY(),EMP_RAW_Data[[#This Row],[Exit Date]]),"Y")</f>
        <v>22</v>
      </c>
      <c r="S944" t="str">
        <f>IF(EMP_RAW_Data[[#This Row],[Status]]=1,"Inactive","Active")</f>
        <v>Active</v>
      </c>
    </row>
    <row r="945" spans="1:19" hidden="1" x14ac:dyDescent="0.3">
      <c r="A945" s="1" t="s">
        <v>1028</v>
      </c>
      <c r="B945" s="1" t="s">
        <v>51</v>
      </c>
      <c r="C945" s="1" t="s">
        <v>54</v>
      </c>
      <c r="D945" s="1" t="s">
        <v>35</v>
      </c>
      <c r="E945" s="1" t="s">
        <v>29</v>
      </c>
      <c r="F945">
        <v>49</v>
      </c>
      <c r="G945" t="s">
        <v>36</v>
      </c>
      <c r="H945" s="2">
        <v>40894</v>
      </c>
      <c r="I945">
        <v>56878</v>
      </c>
      <c r="J945">
        <v>0</v>
      </c>
      <c r="K945">
        <v>56878</v>
      </c>
      <c r="L945" s="1" t="s">
        <v>23</v>
      </c>
      <c r="M945" s="1" t="s">
        <v>24</v>
      </c>
      <c r="N945" s="2"/>
      <c r="O945">
        <v>944</v>
      </c>
      <c r="P945">
        <v>0</v>
      </c>
      <c r="Q945" t="s">
        <v>25</v>
      </c>
      <c r="R945">
        <f ca="1">DATEDIF(EMP_RAW_Data[[#This Row],[Hire Date]],IF(EMP_RAW_Data[[#This Row],[Exit Date]]="",TODAY(),EMP_RAW_Data[[#This Row],[Exit Date]]),"Y")</f>
        <v>14</v>
      </c>
      <c r="S945" t="str">
        <f>IF(EMP_RAW_Data[[#This Row],[Status]]=1,"Inactive","Active")</f>
        <v>Active</v>
      </c>
    </row>
    <row r="946" spans="1:19" hidden="1" x14ac:dyDescent="0.3">
      <c r="A946" s="1" t="s">
        <v>1029</v>
      </c>
      <c r="B946" s="1" t="s">
        <v>267</v>
      </c>
      <c r="C946" s="1" t="s">
        <v>19</v>
      </c>
      <c r="D946" s="1" t="s">
        <v>35</v>
      </c>
      <c r="E946" s="1" t="s">
        <v>29</v>
      </c>
      <c r="F946">
        <v>34</v>
      </c>
      <c r="G946" t="s">
        <v>40</v>
      </c>
      <c r="H946" s="2">
        <v>43728</v>
      </c>
      <c r="I946">
        <v>94735</v>
      </c>
      <c r="J946">
        <v>0</v>
      </c>
      <c r="K946">
        <v>94735</v>
      </c>
      <c r="L946" s="1" t="s">
        <v>30</v>
      </c>
      <c r="M946" s="1" t="s">
        <v>90</v>
      </c>
      <c r="N946" s="2"/>
      <c r="O946">
        <v>945</v>
      </c>
      <c r="P946">
        <v>0</v>
      </c>
      <c r="Q946" t="s">
        <v>25</v>
      </c>
      <c r="R946">
        <f ca="1">DATEDIF(EMP_RAW_Data[[#This Row],[Hire Date]],IF(EMP_RAW_Data[[#This Row],[Exit Date]]="",TODAY(),EMP_RAW_Data[[#This Row],[Exit Date]]),"Y")</f>
        <v>6</v>
      </c>
      <c r="S946" t="str">
        <f>IF(EMP_RAW_Data[[#This Row],[Status]]=1,"Inactive","Active")</f>
        <v>Active</v>
      </c>
    </row>
    <row r="947" spans="1:19" hidden="1" x14ac:dyDescent="0.3">
      <c r="A947" s="1" t="s">
        <v>1030</v>
      </c>
      <c r="B947" s="1" t="s">
        <v>96</v>
      </c>
      <c r="C947" s="1" t="s">
        <v>46</v>
      </c>
      <c r="D947" s="1" t="s">
        <v>28</v>
      </c>
      <c r="E947" s="1" t="s">
        <v>29</v>
      </c>
      <c r="F947">
        <v>39</v>
      </c>
      <c r="G947" t="s">
        <v>59</v>
      </c>
      <c r="H947" s="2">
        <v>39229</v>
      </c>
      <c r="I947">
        <v>51234</v>
      </c>
      <c r="J947">
        <v>0</v>
      </c>
      <c r="K947">
        <v>51234</v>
      </c>
      <c r="L947" s="1" t="s">
        <v>23</v>
      </c>
      <c r="M947" s="1" t="s">
        <v>24</v>
      </c>
      <c r="N947" s="2"/>
      <c r="O947">
        <v>946</v>
      </c>
      <c r="P947">
        <v>0</v>
      </c>
      <c r="Q947" t="s">
        <v>25</v>
      </c>
      <c r="R947">
        <f ca="1">DATEDIF(EMP_RAW_Data[[#This Row],[Hire Date]],IF(EMP_RAW_Data[[#This Row],[Exit Date]]="",TODAY(),EMP_RAW_Data[[#This Row],[Exit Date]]),"Y")</f>
        <v>18</v>
      </c>
      <c r="S947" t="str">
        <f>IF(EMP_RAW_Data[[#This Row],[Status]]=1,"Inactive","Active")</f>
        <v>Active</v>
      </c>
    </row>
    <row r="948" spans="1:19" hidden="1" x14ac:dyDescent="0.3">
      <c r="A948" s="1" t="s">
        <v>1031</v>
      </c>
      <c r="B948" s="1" t="s">
        <v>68</v>
      </c>
      <c r="C948" s="1" t="s">
        <v>58</v>
      </c>
      <c r="D948" s="1" t="s">
        <v>35</v>
      </c>
      <c r="E948" s="1" t="s">
        <v>29</v>
      </c>
      <c r="F948">
        <v>31</v>
      </c>
      <c r="G948" t="s">
        <v>40</v>
      </c>
      <c r="H948" s="2">
        <v>42018</v>
      </c>
      <c r="I948">
        <v>230025</v>
      </c>
      <c r="J948">
        <v>0.34</v>
      </c>
      <c r="K948">
        <v>308233.5</v>
      </c>
      <c r="L948" s="1" t="s">
        <v>23</v>
      </c>
      <c r="M948" s="1" t="s">
        <v>43</v>
      </c>
      <c r="N948" s="2"/>
      <c r="O948">
        <v>947</v>
      </c>
      <c r="P948">
        <v>0</v>
      </c>
      <c r="Q948" t="s">
        <v>25</v>
      </c>
      <c r="R948">
        <f ca="1">DATEDIF(EMP_RAW_Data[[#This Row],[Hire Date]],IF(EMP_RAW_Data[[#This Row],[Exit Date]]="",TODAY(),EMP_RAW_Data[[#This Row],[Exit Date]]),"Y")</f>
        <v>11</v>
      </c>
      <c r="S948" t="str">
        <f>IF(EMP_RAW_Data[[#This Row],[Status]]=1,"Inactive","Active")</f>
        <v>Active</v>
      </c>
    </row>
    <row r="949" spans="1:19" hidden="1" x14ac:dyDescent="0.3">
      <c r="A949" s="1" t="s">
        <v>1032</v>
      </c>
      <c r="B949" s="1" t="s">
        <v>18</v>
      </c>
      <c r="C949" s="1" t="s">
        <v>58</v>
      </c>
      <c r="D949" s="1" t="s">
        <v>35</v>
      </c>
      <c r="E949" s="1" t="s">
        <v>21</v>
      </c>
      <c r="F949">
        <v>36</v>
      </c>
      <c r="G949" t="s">
        <v>59</v>
      </c>
      <c r="H949" s="2">
        <v>40248</v>
      </c>
      <c r="I949">
        <v>134006</v>
      </c>
      <c r="J949">
        <v>0.13</v>
      </c>
      <c r="K949">
        <v>151426.78</v>
      </c>
      <c r="L949" s="1" t="s">
        <v>30</v>
      </c>
      <c r="M949" s="1" t="s">
        <v>90</v>
      </c>
      <c r="N949" s="2"/>
      <c r="O949">
        <v>948</v>
      </c>
      <c r="P949">
        <v>0</v>
      </c>
      <c r="Q949" t="s">
        <v>25</v>
      </c>
      <c r="R949">
        <f ca="1">DATEDIF(EMP_RAW_Data[[#This Row],[Hire Date]],IF(EMP_RAW_Data[[#This Row],[Exit Date]]="",TODAY(),EMP_RAW_Data[[#This Row],[Exit Date]]),"Y")</f>
        <v>16</v>
      </c>
      <c r="S949" t="str">
        <f>IF(EMP_RAW_Data[[#This Row],[Status]]=1,"Inactive","Active")</f>
        <v>Active</v>
      </c>
    </row>
    <row r="950" spans="1:19" hidden="1" x14ac:dyDescent="0.3">
      <c r="A950" s="1" t="s">
        <v>1033</v>
      </c>
      <c r="B950" s="1" t="s">
        <v>49</v>
      </c>
      <c r="C950" s="1" t="s">
        <v>34</v>
      </c>
      <c r="D950" s="1" t="s">
        <v>47</v>
      </c>
      <c r="E950" s="1" t="s">
        <v>21</v>
      </c>
      <c r="F950">
        <v>61</v>
      </c>
      <c r="G950" t="s">
        <v>22</v>
      </c>
      <c r="H950" s="2">
        <v>40092</v>
      </c>
      <c r="I950">
        <v>103096</v>
      </c>
      <c r="J950">
        <v>7.0000000000000007E-2</v>
      </c>
      <c r="K950">
        <v>110312.72</v>
      </c>
      <c r="L950" s="1" t="s">
        <v>30</v>
      </c>
      <c r="M950" s="1" t="s">
        <v>90</v>
      </c>
      <c r="N950" s="2"/>
      <c r="O950">
        <v>949</v>
      </c>
      <c r="P950">
        <v>0</v>
      </c>
      <c r="Q950" t="s">
        <v>25</v>
      </c>
      <c r="R950">
        <f ca="1">DATEDIF(EMP_RAW_Data[[#This Row],[Hire Date]],IF(EMP_RAW_Data[[#This Row],[Exit Date]]="",TODAY(),EMP_RAW_Data[[#This Row],[Exit Date]]),"Y")</f>
        <v>16</v>
      </c>
      <c r="S950" t="str">
        <f>IF(EMP_RAW_Data[[#This Row],[Status]]=1,"Inactive","Active")</f>
        <v>Active</v>
      </c>
    </row>
    <row r="951" spans="1:19" hidden="1" x14ac:dyDescent="0.3">
      <c r="A951" s="1" t="s">
        <v>1034</v>
      </c>
      <c r="B951" s="1" t="s">
        <v>51</v>
      </c>
      <c r="C951" s="1" t="s">
        <v>54</v>
      </c>
      <c r="D951" s="1" t="s">
        <v>28</v>
      </c>
      <c r="E951" s="1" t="s">
        <v>29</v>
      </c>
      <c r="F951">
        <v>29</v>
      </c>
      <c r="G951" t="s">
        <v>40</v>
      </c>
      <c r="H951" s="2">
        <v>42602</v>
      </c>
      <c r="I951">
        <v>58703</v>
      </c>
      <c r="J951">
        <v>0</v>
      </c>
      <c r="K951">
        <v>58703</v>
      </c>
      <c r="L951" s="1" t="s">
        <v>23</v>
      </c>
      <c r="M951" s="1" t="s">
        <v>74</v>
      </c>
      <c r="N951" s="2"/>
      <c r="O951">
        <v>950</v>
      </c>
      <c r="P951">
        <v>0</v>
      </c>
      <c r="Q951" t="s">
        <v>25</v>
      </c>
      <c r="R951">
        <f ca="1">DATEDIF(EMP_RAW_Data[[#This Row],[Hire Date]],IF(EMP_RAW_Data[[#This Row],[Exit Date]]="",TODAY(),EMP_RAW_Data[[#This Row],[Exit Date]]),"Y")</f>
        <v>9</v>
      </c>
      <c r="S951" t="str">
        <f>IF(EMP_RAW_Data[[#This Row],[Status]]=1,"Inactive","Active")</f>
        <v>Active</v>
      </c>
    </row>
    <row r="952" spans="1:19" hidden="1" x14ac:dyDescent="0.3">
      <c r="A952" s="1" t="s">
        <v>1035</v>
      </c>
      <c r="B952" s="1" t="s">
        <v>18</v>
      </c>
      <c r="C952" s="1" t="s">
        <v>19</v>
      </c>
      <c r="D952" s="1" t="s">
        <v>35</v>
      </c>
      <c r="E952" s="1" t="s">
        <v>29</v>
      </c>
      <c r="F952">
        <v>33</v>
      </c>
      <c r="G952" t="s">
        <v>40</v>
      </c>
      <c r="H952" s="2">
        <v>41267</v>
      </c>
      <c r="I952">
        <v>132544</v>
      </c>
      <c r="J952">
        <v>0.1</v>
      </c>
      <c r="K952">
        <v>145798.39999999999</v>
      </c>
      <c r="L952" s="1" t="s">
        <v>77</v>
      </c>
      <c r="M952" s="1" t="s">
        <v>81</v>
      </c>
      <c r="N952" s="2"/>
      <c r="O952">
        <v>951</v>
      </c>
      <c r="P952">
        <v>0</v>
      </c>
      <c r="Q952" t="s">
        <v>25</v>
      </c>
      <c r="R952">
        <f ca="1">DATEDIF(EMP_RAW_Data[[#This Row],[Hire Date]],IF(EMP_RAW_Data[[#This Row],[Exit Date]]="",TODAY(),EMP_RAW_Data[[#This Row],[Exit Date]]),"Y")</f>
        <v>13</v>
      </c>
      <c r="S952" t="str">
        <f>IF(EMP_RAW_Data[[#This Row],[Status]]=1,"Inactive","Active")</f>
        <v>Active</v>
      </c>
    </row>
    <row r="953" spans="1:19" hidden="1" x14ac:dyDescent="0.3">
      <c r="A953" s="1" t="s">
        <v>1036</v>
      </c>
      <c r="B953" s="1" t="s">
        <v>49</v>
      </c>
      <c r="C953" s="1" t="s">
        <v>34</v>
      </c>
      <c r="D953" s="1" t="s">
        <v>28</v>
      </c>
      <c r="E953" s="1" t="s">
        <v>29</v>
      </c>
      <c r="F953">
        <v>32</v>
      </c>
      <c r="G953" t="s">
        <v>40</v>
      </c>
      <c r="H953" s="2">
        <v>43936</v>
      </c>
      <c r="I953">
        <v>126671</v>
      </c>
      <c r="J953">
        <v>0.09</v>
      </c>
      <c r="K953">
        <v>138071.39000000001</v>
      </c>
      <c r="L953" s="1" t="s">
        <v>23</v>
      </c>
      <c r="M953" s="1" t="s">
        <v>52</v>
      </c>
      <c r="N953" s="2"/>
      <c r="O953">
        <v>952</v>
      </c>
      <c r="P953">
        <v>0</v>
      </c>
      <c r="Q953" t="s">
        <v>25</v>
      </c>
      <c r="R953">
        <f ca="1">DATEDIF(EMP_RAW_Data[[#This Row],[Hire Date]],IF(EMP_RAW_Data[[#This Row],[Exit Date]]="",TODAY(),EMP_RAW_Data[[#This Row],[Exit Date]]),"Y")</f>
        <v>5</v>
      </c>
      <c r="S953" t="str">
        <f>IF(EMP_RAW_Data[[#This Row],[Status]]=1,"Inactive","Active")</f>
        <v>Active</v>
      </c>
    </row>
    <row r="954" spans="1:19" hidden="1" x14ac:dyDescent="0.3">
      <c r="A954" s="1" t="s">
        <v>1037</v>
      </c>
      <c r="B954" s="1" t="s">
        <v>45</v>
      </c>
      <c r="C954" s="1" t="s">
        <v>46</v>
      </c>
      <c r="D954" s="1" t="s">
        <v>20</v>
      </c>
      <c r="E954" s="1" t="s">
        <v>21</v>
      </c>
      <c r="F954">
        <v>33</v>
      </c>
      <c r="G954" t="s">
        <v>40</v>
      </c>
      <c r="H954" s="2">
        <v>44218</v>
      </c>
      <c r="I954">
        <v>56405</v>
      </c>
      <c r="J954">
        <v>0</v>
      </c>
      <c r="K954">
        <v>56405</v>
      </c>
      <c r="L954" s="1" t="s">
        <v>23</v>
      </c>
      <c r="M954" s="1" t="s">
        <v>37</v>
      </c>
      <c r="N954" s="2"/>
      <c r="O954">
        <v>953</v>
      </c>
      <c r="P954">
        <v>0</v>
      </c>
      <c r="Q954" t="s">
        <v>25</v>
      </c>
      <c r="R954">
        <f ca="1">DATEDIF(EMP_RAW_Data[[#This Row],[Hire Date]],IF(EMP_RAW_Data[[#This Row],[Exit Date]]="",TODAY(),EMP_RAW_Data[[#This Row],[Exit Date]]),"Y")</f>
        <v>5</v>
      </c>
      <c r="S954" t="str">
        <f>IF(EMP_RAW_Data[[#This Row],[Status]]=1,"Inactive","Active")</f>
        <v>Active</v>
      </c>
    </row>
    <row r="955" spans="1:19" hidden="1" x14ac:dyDescent="0.3">
      <c r="A955" s="1" t="s">
        <v>1038</v>
      </c>
      <c r="B955" s="1" t="s">
        <v>39</v>
      </c>
      <c r="C955" s="1" t="s">
        <v>19</v>
      </c>
      <c r="D955" s="1" t="s">
        <v>35</v>
      </c>
      <c r="E955" s="1" t="s">
        <v>21</v>
      </c>
      <c r="F955">
        <v>36</v>
      </c>
      <c r="G955" t="s">
        <v>59</v>
      </c>
      <c r="H955" s="2">
        <v>41972</v>
      </c>
      <c r="I955">
        <v>88730</v>
      </c>
      <c r="J955">
        <v>0.08</v>
      </c>
      <c r="K955">
        <v>95828.4</v>
      </c>
      <c r="L955" s="1" t="s">
        <v>30</v>
      </c>
      <c r="M955" s="1" t="s">
        <v>31</v>
      </c>
      <c r="N955" s="2"/>
      <c r="O955">
        <v>954</v>
      </c>
      <c r="P955">
        <v>0</v>
      </c>
      <c r="Q955" t="s">
        <v>25</v>
      </c>
      <c r="R955">
        <f ca="1">DATEDIF(EMP_RAW_Data[[#This Row],[Hire Date]],IF(EMP_RAW_Data[[#This Row],[Exit Date]]="",TODAY(),EMP_RAW_Data[[#This Row],[Exit Date]]),"Y")</f>
        <v>11</v>
      </c>
      <c r="S955" t="str">
        <f>IF(EMP_RAW_Data[[#This Row],[Status]]=1,"Inactive","Active")</f>
        <v>Active</v>
      </c>
    </row>
    <row r="956" spans="1:19" hidden="1" x14ac:dyDescent="0.3">
      <c r="A956" s="1" t="s">
        <v>1039</v>
      </c>
      <c r="B956" s="1" t="s">
        <v>96</v>
      </c>
      <c r="C956" s="1" t="s">
        <v>34</v>
      </c>
      <c r="D956" s="1" t="s">
        <v>28</v>
      </c>
      <c r="E956" s="1" t="s">
        <v>29</v>
      </c>
      <c r="F956">
        <v>39</v>
      </c>
      <c r="G956" t="s">
        <v>59</v>
      </c>
      <c r="H956" s="2">
        <v>39708</v>
      </c>
      <c r="I956">
        <v>62861</v>
      </c>
      <c r="J956">
        <v>0</v>
      </c>
      <c r="K956">
        <v>62861</v>
      </c>
      <c r="L956" s="1" t="s">
        <v>23</v>
      </c>
      <c r="M956" s="1" t="s">
        <v>24</v>
      </c>
      <c r="N956" s="2"/>
      <c r="O956">
        <v>955</v>
      </c>
      <c r="P956">
        <v>0</v>
      </c>
      <c r="Q956" t="s">
        <v>25</v>
      </c>
      <c r="R956">
        <f ca="1">DATEDIF(EMP_RAW_Data[[#This Row],[Hire Date]],IF(EMP_RAW_Data[[#This Row],[Exit Date]]="",TODAY(),EMP_RAW_Data[[#This Row],[Exit Date]]),"Y")</f>
        <v>17</v>
      </c>
      <c r="S956" t="str">
        <f>IF(EMP_RAW_Data[[#This Row],[Status]]=1,"Inactive","Active")</f>
        <v>Active</v>
      </c>
    </row>
    <row r="957" spans="1:19" hidden="1" x14ac:dyDescent="0.3">
      <c r="A957" s="1" t="s">
        <v>1040</v>
      </c>
      <c r="B957" s="1" t="s">
        <v>33</v>
      </c>
      <c r="C957" s="1" t="s">
        <v>58</v>
      </c>
      <c r="D957" s="1" t="s">
        <v>47</v>
      </c>
      <c r="E957" s="1" t="s">
        <v>21</v>
      </c>
      <c r="F957">
        <v>53</v>
      </c>
      <c r="G957" t="s">
        <v>36</v>
      </c>
      <c r="H957" s="2">
        <v>38919</v>
      </c>
      <c r="I957">
        <v>151246</v>
      </c>
      <c r="J957">
        <v>0.21</v>
      </c>
      <c r="K957">
        <v>183007.66</v>
      </c>
      <c r="L957" s="1" t="s">
        <v>77</v>
      </c>
      <c r="M957" s="1" t="s">
        <v>148</v>
      </c>
      <c r="N957" s="2"/>
      <c r="O957">
        <v>956</v>
      </c>
      <c r="P957">
        <v>0</v>
      </c>
      <c r="Q957" t="s">
        <v>25</v>
      </c>
      <c r="R957">
        <f ca="1">DATEDIF(EMP_RAW_Data[[#This Row],[Hire Date]],IF(EMP_RAW_Data[[#This Row],[Exit Date]]="",TODAY(),EMP_RAW_Data[[#This Row],[Exit Date]]),"Y")</f>
        <v>19</v>
      </c>
      <c r="S957" t="str">
        <f>IF(EMP_RAW_Data[[#This Row],[Status]]=1,"Inactive","Active")</f>
        <v>Active</v>
      </c>
    </row>
    <row r="958" spans="1:19" hidden="1" x14ac:dyDescent="0.3">
      <c r="A958" s="1" t="s">
        <v>1041</v>
      </c>
      <c r="B958" s="1" t="s">
        <v>18</v>
      </c>
      <c r="C958" s="1" t="s">
        <v>19</v>
      </c>
      <c r="D958" s="1" t="s">
        <v>28</v>
      </c>
      <c r="E958" s="1" t="s">
        <v>21</v>
      </c>
      <c r="F958">
        <v>53</v>
      </c>
      <c r="G958" t="s">
        <v>36</v>
      </c>
      <c r="H958" s="2">
        <v>35532</v>
      </c>
      <c r="I958">
        <v>154388</v>
      </c>
      <c r="J958">
        <v>0.1</v>
      </c>
      <c r="K958">
        <v>169826.8</v>
      </c>
      <c r="L958" s="1" t="s">
        <v>23</v>
      </c>
      <c r="M958" s="1" t="s">
        <v>24</v>
      </c>
      <c r="N958" s="2"/>
      <c r="O958">
        <v>957</v>
      </c>
      <c r="P958">
        <v>0</v>
      </c>
      <c r="Q958" t="s">
        <v>25</v>
      </c>
      <c r="R958">
        <f ca="1">DATEDIF(EMP_RAW_Data[[#This Row],[Hire Date]],IF(EMP_RAW_Data[[#This Row],[Exit Date]]="",TODAY(),EMP_RAW_Data[[#This Row],[Exit Date]]),"Y")</f>
        <v>28</v>
      </c>
      <c r="S958" t="str">
        <f>IF(EMP_RAW_Data[[#This Row],[Status]]=1,"Inactive","Active")</f>
        <v>Active</v>
      </c>
    </row>
    <row r="959" spans="1:19" x14ac:dyDescent="0.3">
      <c r="A959" s="1" t="s">
        <v>1042</v>
      </c>
      <c r="B959" s="1" t="s">
        <v>33</v>
      </c>
      <c r="C959" s="1" t="s">
        <v>58</v>
      </c>
      <c r="D959" s="1" t="s">
        <v>28</v>
      </c>
      <c r="E959" s="1" t="s">
        <v>21</v>
      </c>
      <c r="F959">
        <v>54</v>
      </c>
      <c r="G959" t="s">
        <v>36</v>
      </c>
      <c r="H959" s="2">
        <v>34603</v>
      </c>
      <c r="I959">
        <v>162978</v>
      </c>
      <c r="J959">
        <v>0.17</v>
      </c>
      <c r="K959">
        <v>190684.26</v>
      </c>
      <c r="L959" s="1" t="s">
        <v>23</v>
      </c>
      <c r="M959" s="1" t="s">
        <v>52</v>
      </c>
      <c r="N959" s="2">
        <v>38131</v>
      </c>
      <c r="O959">
        <v>958</v>
      </c>
      <c r="P959">
        <v>1</v>
      </c>
      <c r="Q959" t="s">
        <v>25</v>
      </c>
      <c r="R959">
        <f ca="1">DATEDIF(EMP_RAW_Data[[#This Row],[Hire Date]],IF(EMP_RAW_Data[[#This Row],[Exit Date]]="",TODAY(),EMP_RAW_Data[[#This Row],[Exit Date]]),"Y")</f>
        <v>9</v>
      </c>
      <c r="S959" t="str">
        <f>IF(EMP_RAW_Data[[#This Row],[Status]]=1,"Inactive","Active")</f>
        <v>Inactive</v>
      </c>
    </row>
    <row r="960" spans="1:19" hidden="1" x14ac:dyDescent="0.3">
      <c r="A960" s="1" t="s">
        <v>1043</v>
      </c>
      <c r="B960" s="1" t="s">
        <v>230</v>
      </c>
      <c r="C960" s="1" t="s">
        <v>19</v>
      </c>
      <c r="D960" s="1" t="s">
        <v>35</v>
      </c>
      <c r="E960" s="1" t="s">
        <v>29</v>
      </c>
      <c r="F960">
        <v>55</v>
      </c>
      <c r="G960" t="s">
        <v>22</v>
      </c>
      <c r="H960" s="2">
        <v>34290</v>
      </c>
      <c r="I960">
        <v>80170</v>
      </c>
      <c r="J960">
        <v>0</v>
      </c>
      <c r="K960">
        <v>80170</v>
      </c>
      <c r="L960" s="1" t="s">
        <v>23</v>
      </c>
      <c r="M960" s="1" t="s">
        <v>52</v>
      </c>
      <c r="N960" s="2"/>
      <c r="O960">
        <v>959</v>
      </c>
      <c r="P960">
        <v>0</v>
      </c>
      <c r="Q960" t="s">
        <v>25</v>
      </c>
      <c r="R960">
        <f ca="1">DATEDIF(EMP_RAW_Data[[#This Row],[Hire Date]],IF(EMP_RAW_Data[[#This Row],[Exit Date]]="",TODAY(),EMP_RAW_Data[[#This Row],[Exit Date]]),"Y")</f>
        <v>32</v>
      </c>
      <c r="S960" t="str">
        <f>IF(EMP_RAW_Data[[#This Row],[Status]]=1,"Inactive","Active")</f>
        <v>Active</v>
      </c>
    </row>
    <row r="961" spans="1:19" hidden="1" x14ac:dyDescent="0.3">
      <c r="A961" s="1" t="s">
        <v>1044</v>
      </c>
      <c r="B961" s="1" t="s">
        <v>42</v>
      </c>
      <c r="C961" s="1" t="s">
        <v>54</v>
      </c>
      <c r="D961" s="1" t="s">
        <v>28</v>
      </c>
      <c r="E961" s="1" t="s">
        <v>21</v>
      </c>
      <c r="F961">
        <v>44</v>
      </c>
      <c r="G961" t="s">
        <v>59</v>
      </c>
      <c r="H961" s="2">
        <v>44314</v>
      </c>
      <c r="I961">
        <v>98520</v>
      </c>
      <c r="J961">
        <v>0</v>
      </c>
      <c r="K961">
        <v>98520</v>
      </c>
      <c r="L961" s="1" t="s">
        <v>23</v>
      </c>
      <c r="M961" s="1" t="s">
        <v>52</v>
      </c>
      <c r="N961" s="2"/>
      <c r="O961">
        <v>960</v>
      </c>
      <c r="P961">
        <v>0</v>
      </c>
      <c r="Q961" t="s">
        <v>25</v>
      </c>
      <c r="R961">
        <f ca="1">DATEDIF(EMP_RAW_Data[[#This Row],[Hire Date]],IF(EMP_RAW_Data[[#This Row],[Exit Date]]="",TODAY(),EMP_RAW_Data[[#This Row],[Exit Date]]),"Y")</f>
        <v>4</v>
      </c>
      <c r="S961" t="str">
        <f>IF(EMP_RAW_Data[[#This Row],[Status]]=1,"Inactive","Active")</f>
        <v>Active</v>
      </c>
    </row>
    <row r="962" spans="1:19" hidden="1" x14ac:dyDescent="0.3">
      <c r="A962" s="1" t="s">
        <v>1045</v>
      </c>
      <c r="B962" s="1" t="s">
        <v>49</v>
      </c>
      <c r="C962" s="1" t="s">
        <v>34</v>
      </c>
      <c r="D962" s="1" t="s">
        <v>28</v>
      </c>
      <c r="E962" s="1" t="s">
        <v>29</v>
      </c>
      <c r="F962">
        <v>52</v>
      </c>
      <c r="G962" t="s">
        <v>36</v>
      </c>
      <c r="H962" s="2">
        <v>36523</v>
      </c>
      <c r="I962">
        <v>116527</v>
      </c>
      <c r="J962">
        <v>7.0000000000000007E-2</v>
      </c>
      <c r="K962">
        <v>124683.89</v>
      </c>
      <c r="L962" s="1" t="s">
        <v>23</v>
      </c>
      <c r="M962" s="1" t="s">
        <v>43</v>
      </c>
      <c r="N962" s="2"/>
      <c r="O962">
        <v>961</v>
      </c>
      <c r="P962">
        <v>0</v>
      </c>
      <c r="Q962" t="s">
        <v>25</v>
      </c>
      <c r="R962">
        <f ca="1">DATEDIF(EMP_RAW_Data[[#This Row],[Hire Date]],IF(EMP_RAW_Data[[#This Row],[Exit Date]]="",TODAY(),EMP_RAW_Data[[#This Row],[Exit Date]]),"Y")</f>
        <v>26</v>
      </c>
      <c r="S962" t="str">
        <f>IF(EMP_RAW_Data[[#This Row],[Status]]=1,"Inactive","Active")</f>
        <v>Active</v>
      </c>
    </row>
    <row r="963" spans="1:19" hidden="1" x14ac:dyDescent="0.3">
      <c r="A963" s="1" t="s">
        <v>1046</v>
      </c>
      <c r="B963" s="1" t="s">
        <v>33</v>
      </c>
      <c r="C963" s="1" t="s">
        <v>46</v>
      </c>
      <c r="D963" s="1" t="s">
        <v>20</v>
      </c>
      <c r="E963" s="1" t="s">
        <v>29</v>
      </c>
      <c r="F963">
        <v>27</v>
      </c>
      <c r="G963" t="s">
        <v>40</v>
      </c>
      <c r="H963" s="2">
        <v>43776</v>
      </c>
      <c r="I963">
        <v>174607</v>
      </c>
      <c r="J963">
        <v>0.28999999999999998</v>
      </c>
      <c r="K963">
        <v>225243.03</v>
      </c>
      <c r="L963" s="1" t="s">
        <v>23</v>
      </c>
      <c r="M963" s="1" t="s">
        <v>74</v>
      </c>
      <c r="N963" s="2"/>
      <c r="O963">
        <v>962</v>
      </c>
      <c r="P963">
        <v>0</v>
      </c>
      <c r="Q963" t="s">
        <v>25</v>
      </c>
      <c r="R963">
        <f ca="1">DATEDIF(EMP_RAW_Data[[#This Row],[Hire Date]],IF(EMP_RAW_Data[[#This Row],[Exit Date]]="",TODAY(),EMP_RAW_Data[[#This Row],[Exit Date]]),"Y")</f>
        <v>6</v>
      </c>
      <c r="S963" t="str">
        <f>IF(EMP_RAW_Data[[#This Row],[Status]]=1,"Inactive","Active")</f>
        <v>Active</v>
      </c>
    </row>
    <row r="964" spans="1:19" hidden="1" x14ac:dyDescent="0.3">
      <c r="A964" s="1" t="s">
        <v>1047</v>
      </c>
      <c r="B964" s="1" t="s">
        <v>96</v>
      </c>
      <c r="C964" s="1" t="s">
        <v>54</v>
      </c>
      <c r="D964" s="1" t="s">
        <v>20</v>
      </c>
      <c r="E964" s="1" t="s">
        <v>29</v>
      </c>
      <c r="F964">
        <v>58</v>
      </c>
      <c r="G964" t="s">
        <v>22</v>
      </c>
      <c r="H964" s="2">
        <v>38819</v>
      </c>
      <c r="I964">
        <v>64202</v>
      </c>
      <c r="J964">
        <v>0</v>
      </c>
      <c r="K964">
        <v>64202</v>
      </c>
      <c r="L964" s="1" t="s">
        <v>23</v>
      </c>
      <c r="M964" s="1" t="s">
        <v>74</v>
      </c>
      <c r="N964" s="2"/>
      <c r="O964">
        <v>963</v>
      </c>
      <c r="P964">
        <v>0</v>
      </c>
      <c r="Q964" t="s">
        <v>25</v>
      </c>
      <c r="R964">
        <f ca="1">DATEDIF(EMP_RAW_Data[[#This Row],[Hire Date]],IF(EMP_RAW_Data[[#This Row],[Exit Date]]="",TODAY(),EMP_RAW_Data[[#This Row],[Exit Date]]),"Y")</f>
        <v>19</v>
      </c>
      <c r="S964" t="str">
        <f>IF(EMP_RAW_Data[[#This Row],[Status]]=1,"Inactive","Active")</f>
        <v>Active</v>
      </c>
    </row>
    <row r="965" spans="1:19" x14ac:dyDescent="0.3">
      <c r="A965" s="1" t="s">
        <v>1048</v>
      </c>
      <c r="B965" s="1" t="s">
        <v>96</v>
      </c>
      <c r="C965" s="1" t="s">
        <v>54</v>
      </c>
      <c r="D965" s="1" t="s">
        <v>47</v>
      </c>
      <c r="E965" s="1" t="s">
        <v>29</v>
      </c>
      <c r="F965">
        <v>49</v>
      </c>
      <c r="G965" t="s">
        <v>36</v>
      </c>
      <c r="H965" s="2">
        <v>43671</v>
      </c>
      <c r="I965">
        <v>50883</v>
      </c>
      <c r="J965">
        <v>0</v>
      </c>
      <c r="K965">
        <v>50883</v>
      </c>
      <c r="L965" s="1" t="s">
        <v>30</v>
      </c>
      <c r="M965" s="1" t="s">
        <v>31</v>
      </c>
      <c r="N965" s="2">
        <v>44257</v>
      </c>
      <c r="O965">
        <v>964</v>
      </c>
      <c r="P965">
        <v>1</v>
      </c>
      <c r="Q965" t="s">
        <v>25</v>
      </c>
      <c r="R965">
        <f ca="1">DATEDIF(EMP_RAW_Data[[#This Row],[Hire Date]],IF(EMP_RAW_Data[[#This Row],[Exit Date]]="",TODAY(),EMP_RAW_Data[[#This Row],[Exit Date]]),"Y")</f>
        <v>1</v>
      </c>
      <c r="S965" t="str">
        <f>IF(EMP_RAW_Data[[#This Row],[Status]]=1,"Inactive","Active")</f>
        <v>Inactive</v>
      </c>
    </row>
    <row r="966" spans="1:19" hidden="1" x14ac:dyDescent="0.3">
      <c r="A966" s="1" t="s">
        <v>1049</v>
      </c>
      <c r="B966" s="1" t="s">
        <v>164</v>
      </c>
      <c r="C966" s="1" t="s">
        <v>19</v>
      </c>
      <c r="D966" s="1" t="s">
        <v>35</v>
      </c>
      <c r="E966" s="1" t="s">
        <v>21</v>
      </c>
      <c r="F966">
        <v>36</v>
      </c>
      <c r="G966" t="s">
        <v>59</v>
      </c>
      <c r="H966" s="2">
        <v>42677</v>
      </c>
      <c r="I966">
        <v>94618</v>
      </c>
      <c r="J966">
        <v>0</v>
      </c>
      <c r="K966">
        <v>94618</v>
      </c>
      <c r="L966" s="1" t="s">
        <v>23</v>
      </c>
      <c r="M966" s="1" t="s">
        <v>74</v>
      </c>
      <c r="N966" s="2"/>
      <c r="O966">
        <v>965</v>
      </c>
      <c r="P966">
        <v>0</v>
      </c>
      <c r="Q966" t="s">
        <v>25</v>
      </c>
      <c r="R966">
        <f ca="1">DATEDIF(EMP_RAW_Data[[#This Row],[Hire Date]],IF(EMP_RAW_Data[[#This Row],[Exit Date]]="",TODAY(),EMP_RAW_Data[[#This Row],[Exit Date]]),"Y")</f>
        <v>9</v>
      </c>
      <c r="S966" t="str">
        <f>IF(EMP_RAW_Data[[#This Row],[Status]]=1,"Inactive","Active")</f>
        <v>Active</v>
      </c>
    </row>
    <row r="967" spans="1:19" hidden="1" x14ac:dyDescent="0.3">
      <c r="A967" s="1" t="s">
        <v>1050</v>
      </c>
      <c r="B967" s="1" t="s">
        <v>33</v>
      </c>
      <c r="C967" s="1" t="s">
        <v>69</v>
      </c>
      <c r="D967" s="1" t="s">
        <v>20</v>
      </c>
      <c r="E967" s="1" t="s">
        <v>29</v>
      </c>
      <c r="F967">
        <v>26</v>
      </c>
      <c r="G967" t="s">
        <v>40</v>
      </c>
      <c r="H967" s="2">
        <v>43753</v>
      </c>
      <c r="I967">
        <v>151556</v>
      </c>
      <c r="J967">
        <v>0.2</v>
      </c>
      <c r="K967">
        <v>181867.2</v>
      </c>
      <c r="L967" s="1" t="s">
        <v>23</v>
      </c>
      <c r="M967" s="1" t="s">
        <v>52</v>
      </c>
      <c r="N967" s="2"/>
      <c r="O967">
        <v>966</v>
      </c>
      <c r="P967">
        <v>0</v>
      </c>
      <c r="Q967" t="s">
        <v>25</v>
      </c>
      <c r="R967">
        <f ca="1">DATEDIF(EMP_RAW_Data[[#This Row],[Hire Date]],IF(EMP_RAW_Data[[#This Row],[Exit Date]]="",TODAY(),EMP_RAW_Data[[#This Row],[Exit Date]]),"Y")</f>
        <v>6</v>
      </c>
      <c r="S967" t="str">
        <f>IF(EMP_RAW_Data[[#This Row],[Status]]=1,"Inactive","Active")</f>
        <v>Active</v>
      </c>
    </row>
    <row r="968" spans="1:19" hidden="1" x14ac:dyDescent="0.3">
      <c r="A968" s="1" t="s">
        <v>1051</v>
      </c>
      <c r="B968" s="1" t="s">
        <v>180</v>
      </c>
      <c r="C968" s="1" t="s">
        <v>62</v>
      </c>
      <c r="D968" s="1" t="s">
        <v>20</v>
      </c>
      <c r="E968" s="1" t="s">
        <v>21</v>
      </c>
      <c r="F968">
        <v>37</v>
      </c>
      <c r="G968" t="s">
        <v>59</v>
      </c>
      <c r="H968" s="2">
        <v>43898</v>
      </c>
      <c r="I968">
        <v>80659</v>
      </c>
      <c r="J968">
        <v>0</v>
      </c>
      <c r="K968">
        <v>80659</v>
      </c>
      <c r="L968" s="1" t="s">
        <v>23</v>
      </c>
      <c r="M968" s="1" t="s">
        <v>43</v>
      </c>
      <c r="N968" s="2"/>
      <c r="O968">
        <v>967</v>
      </c>
      <c r="P968">
        <v>0</v>
      </c>
      <c r="Q968" t="s">
        <v>25</v>
      </c>
      <c r="R968">
        <f ca="1">DATEDIF(EMP_RAW_Data[[#This Row],[Hire Date]],IF(EMP_RAW_Data[[#This Row],[Exit Date]]="",TODAY(),EMP_RAW_Data[[#This Row],[Exit Date]]),"Y")</f>
        <v>6</v>
      </c>
      <c r="S968" t="str">
        <f>IF(EMP_RAW_Data[[#This Row],[Status]]=1,"Inactive","Active")</f>
        <v>Active</v>
      </c>
    </row>
    <row r="969" spans="1:19" hidden="1" x14ac:dyDescent="0.3">
      <c r="A969" s="1" t="s">
        <v>1052</v>
      </c>
      <c r="B969" s="1" t="s">
        <v>33</v>
      </c>
      <c r="C969" s="1" t="s">
        <v>58</v>
      </c>
      <c r="D969" s="1" t="s">
        <v>35</v>
      </c>
      <c r="E969" s="1" t="s">
        <v>29</v>
      </c>
      <c r="F969">
        <v>47</v>
      </c>
      <c r="G969" t="s">
        <v>36</v>
      </c>
      <c r="H969" s="2">
        <v>43772</v>
      </c>
      <c r="I969">
        <v>195385</v>
      </c>
      <c r="J969">
        <v>0.21</v>
      </c>
      <c r="K969">
        <v>236415.85</v>
      </c>
      <c r="L969" s="1" t="s">
        <v>30</v>
      </c>
      <c r="M969" s="1" t="s">
        <v>102</v>
      </c>
      <c r="N969" s="2"/>
      <c r="O969">
        <v>968</v>
      </c>
      <c r="P969">
        <v>0</v>
      </c>
      <c r="Q969" t="s">
        <v>25</v>
      </c>
      <c r="R969">
        <f ca="1">DATEDIF(EMP_RAW_Data[[#This Row],[Hire Date]],IF(EMP_RAW_Data[[#This Row],[Exit Date]]="",TODAY(),EMP_RAW_Data[[#This Row],[Exit Date]]),"Y")</f>
        <v>6</v>
      </c>
      <c r="S969" t="str">
        <f>IF(EMP_RAW_Data[[#This Row],[Status]]=1,"Inactive","Active")</f>
        <v>Active</v>
      </c>
    </row>
    <row r="970" spans="1:19" hidden="1" x14ac:dyDescent="0.3">
      <c r="A970" s="1" t="s">
        <v>1053</v>
      </c>
      <c r="B970" s="1" t="s">
        <v>208</v>
      </c>
      <c r="C970" s="1" t="s">
        <v>19</v>
      </c>
      <c r="D970" s="1" t="s">
        <v>35</v>
      </c>
      <c r="E970" s="1" t="s">
        <v>29</v>
      </c>
      <c r="F970">
        <v>29</v>
      </c>
      <c r="G970" t="s">
        <v>40</v>
      </c>
      <c r="H970" s="2">
        <v>42509</v>
      </c>
      <c r="I970">
        <v>52693</v>
      </c>
      <c r="J970">
        <v>0</v>
      </c>
      <c r="K970">
        <v>52693</v>
      </c>
      <c r="L970" s="1" t="s">
        <v>77</v>
      </c>
      <c r="M970" s="1" t="s">
        <v>81</v>
      </c>
      <c r="N970" s="2"/>
      <c r="O970">
        <v>969</v>
      </c>
      <c r="P970">
        <v>0</v>
      </c>
      <c r="Q970" t="s">
        <v>25</v>
      </c>
      <c r="R970">
        <f ca="1">DATEDIF(EMP_RAW_Data[[#This Row],[Hire Date]],IF(EMP_RAW_Data[[#This Row],[Exit Date]]="",TODAY(),EMP_RAW_Data[[#This Row],[Exit Date]]),"Y")</f>
        <v>9</v>
      </c>
      <c r="S970" t="str">
        <f>IF(EMP_RAW_Data[[#This Row],[Status]]=1,"Inactive","Active")</f>
        <v>Active</v>
      </c>
    </row>
    <row r="971" spans="1:19" hidden="1" x14ac:dyDescent="0.3">
      <c r="A971" s="1" t="s">
        <v>1054</v>
      </c>
      <c r="B971" s="1" t="s">
        <v>290</v>
      </c>
      <c r="C971" s="1" t="s">
        <v>19</v>
      </c>
      <c r="D971" s="1" t="s">
        <v>20</v>
      </c>
      <c r="E971" s="1" t="s">
        <v>21</v>
      </c>
      <c r="F971">
        <v>58</v>
      </c>
      <c r="G971" t="s">
        <v>22</v>
      </c>
      <c r="H971" s="2">
        <v>42486</v>
      </c>
      <c r="I971">
        <v>72045</v>
      </c>
      <c r="J971">
        <v>0</v>
      </c>
      <c r="K971">
        <v>72045</v>
      </c>
      <c r="L971" s="1" t="s">
        <v>23</v>
      </c>
      <c r="M971" s="1" t="s">
        <v>43</v>
      </c>
      <c r="N971" s="2"/>
      <c r="O971">
        <v>970</v>
      </c>
      <c r="P971">
        <v>0</v>
      </c>
      <c r="Q971" t="s">
        <v>25</v>
      </c>
      <c r="R971">
        <f ca="1">DATEDIF(EMP_RAW_Data[[#This Row],[Hire Date]],IF(EMP_RAW_Data[[#This Row],[Exit Date]]="",TODAY(),EMP_RAW_Data[[#This Row],[Exit Date]]),"Y")</f>
        <v>9</v>
      </c>
      <c r="S971" t="str">
        <f>IF(EMP_RAW_Data[[#This Row],[Status]]=1,"Inactive","Active")</f>
        <v>Active</v>
      </c>
    </row>
    <row r="972" spans="1:19" hidden="1" x14ac:dyDescent="0.3">
      <c r="A972" s="1" t="s">
        <v>1055</v>
      </c>
      <c r="B972" s="1" t="s">
        <v>96</v>
      </c>
      <c r="C972" s="1" t="s">
        <v>69</v>
      </c>
      <c r="D972" s="1" t="s">
        <v>28</v>
      </c>
      <c r="E972" s="1" t="s">
        <v>29</v>
      </c>
      <c r="F972">
        <v>47</v>
      </c>
      <c r="G972" t="s">
        <v>36</v>
      </c>
      <c r="H972" s="2">
        <v>38684</v>
      </c>
      <c r="I972">
        <v>62749</v>
      </c>
      <c r="J972">
        <v>0</v>
      </c>
      <c r="K972">
        <v>62749</v>
      </c>
      <c r="L972" s="1" t="s">
        <v>77</v>
      </c>
      <c r="M972" s="1" t="s">
        <v>78</v>
      </c>
      <c r="N972" s="2"/>
      <c r="O972">
        <v>971</v>
      </c>
      <c r="P972">
        <v>0</v>
      </c>
      <c r="Q972" t="s">
        <v>25</v>
      </c>
      <c r="R972">
        <f ca="1">DATEDIF(EMP_RAW_Data[[#This Row],[Hire Date]],IF(EMP_RAW_Data[[#This Row],[Exit Date]]="",TODAY(),EMP_RAW_Data[[#This Row],[Exit Date]]),"Y")</f>
        <v>20</v>
      </c>
      <c r="S972" t="str">
        <f>IF(EMP_RAW_Data[[#This Row],[Status]]=1,"Inactive","Active")</f>
        <v>Active</v>
      </c>
    </row>
    <row r="973" spans="1:19" hidden="1" x14ac:dyDescent="0.3">
      <c r="A973" s="1" t="s">
        <v>1056</v>
      </c>
      <c r="B973" s="1" t="s">
        <v>18</v>
      </c>
      <c r="C973" s="1" t="s">
        <v>69</v>
      </c>
      <c r="D973" s="1" t="s">
        <v>35</v>
      </c>
      <c r="E973" s="1" t="s">
        <v>29</v>
      </c>
      <c r="F973">
        <v>52</v>
      </c>
      <c r="G973" t="s">
        <v>36</v>
      </c>
      <c r="H973" s="2">
        <v>43255</v>
      </c>
      <c r="I973">
        <v>154884</v>
      </c>
      <c r="J973">
        <v>0.1</v>
      </c>
      <c r="K973">
        <v>170372.4</v>
      </c>
      <c r="L973" s="1" t="s">
        <v>30</v>
      </c>
      <c r="M973" s="1" t="s">
        <v>65</v>
      </c>
      <c r="N973" s="2"/>
      <c r="O973">
        <v>972</v>
      </c>
      <c r="P973">
        <v>0</v>
      </c>
      <c r="Q973" t="s">
        <v>25</v>
      </c>
      <c r="R973">
        <f ca="1">DATEDIF(EMP_RAW_Data[[#This Row],[Hire Date]],IF(EMP_RAW_Data[[#This Row],[Exit Date]]="",TODAY(),EMP_RAW_Data[[#This Row],[Exit Date]]),"Y")</f>
        <v>7</v>
      </c>
      <c r="S973" t="str">
        <f>IF(EMP_RAW_Data[[#This Row],[Status]]=1,"Inactive","Active")</f>
        <v>Active</v>
      </c>
    </row>
    <row r="974" spans="1:19" hidden="1" x14ac:dyDescent="0.3">
      <c r="A974" s="1" t="s">
        <v>1057</v>
      </c>
      <c r="B974" s="1" t="s">
        <v>164</v>
      </c>
      <c r="C974" s="1" t="s">
        <v>19</v>
      </c>
      <c r="D974" s="1" t="s">
        <v>20</v>
      </c>
      <c r="E974" s="1" t="s">
        <v>29</v>
      </c>
      <c r="F974">
        <v>61</v>
      </c>
      <c r="G974" t="s">
        <v>22</v>
      </c>
      <c r="H974" s="2">
        <v>42437</v>
      </c>
      <c r="I974">
        <v>96566</v>
      </c>
      <c r="J974">
        <v>0</v>
      </c>
      <c r="K974">
        <v>96566</v>
      </c>
      <c r="L974" s="1" t="s">
        <v>23</v>
      </c>
      <c r="M974" s="1" t="s">
        <v>74</v>
      </c>
      <c r="N974" s="2"/>
      <c r="O974">
        <v>973</v>
      </c>
      <c r="P974">
        <v>0</v>
      </c>
      <c r="Q974" t="s">
        <v>25</v>
      </c>
      <c r="R974">
        <f ca="1">DATEDIF(EMP_RAW_Data[[#This Row],[Hire Date]],IF(EMP_RAW_Data[[#This Row],[Exit Date]]="",TODAY(),EMP_RAW_Data[[#This Row],[Exit Date]]),"Y")</f>
        <v>10</v>
      </c>
      <c r="S974" t="str">
        <f>IF(EMP_RAW_Data[[#This Row],[Status]]=1,"Inactive","Active")</f>
        <v>Active</v>
      </c>
    </row>
    <row r="975" spans="1:19" hidden="1" x14ac:dyDescent="0.3">
      <c r="A975" s="1" t="s">
        <v>1058</v>
      </c>
      <c r="B975" s="1" t="s">
        <v>208</v>
      </c>
      <c r="C975" s="1" t="s">
        <v>19</v>
      </c>
      <c r="D975" s="1" t="s">
        <v>20</v>
      </c>
      <c r="E975" s="1" t="s">
        <v>29</v>
      </c>
      <c r="F975">
        <v>45</v>
      </c>
      <c r="G975" t="s">
        <v>36</v>
      </c>
      <c r="H975" s="2">
        <v>37126</v>
      </c>
      <c r="I975">
        <v>54994</v>
      </c>
      <c r="J975">
        <v>0</v>
      </c>
      <c r="K975">
        <v>54994</v>
      </c>
      <c r="L975" s="1" t="s">
        <v>23</v>
      </c>
      <c r="M975" s="1" t="s">
        <v>74</v>
      </c>
      <c r="N975" s="2"/>
      <c r="O975">
        <v>974</v>
      </c>
      <c r="P975">
        <v>0</v>
      </c>
      <c r="Q975" t="s">
        <v>25</v>
      </c>
      <c r="R975">
        <f ca="1">DATEDIF(EMP_RAW_Data[[#This Row],[Hire Date]],IF(EMP_RAW_Data[[#This Row],[Exit Date]]="",TODAY(),EMP_RAW_Data[[#This Row],[Exit Date]]),"Y")</f>
        <v>24</v>
      </c>
      <c r="S975" t="str">
        <f>IF(EMP_RAW_Data[[#This Row],[Status]]=1,"Inactive","Active")</f>
        <v>Active</v>
      </c>
    </row>
    <row r="976" spans="1:19" hidden="1" x14ac:dyDescent="0.3">
      <c r="A976" s="1" t="s">
        <v>1059</v>
      </c>
      <c r="B976" s="1" t="s">
        <v>290</v>
      </c>
      <c r="C976" s="1" t="s">
        <v>19</v>
      </c>
      <c r="D976" s="1" t="s">
        <v>47</v>
      </c>
      <c r="E976" s="1" t="s">
        <v>21</v>
      </c>
      <c r="F976">
        <v>40</v>
      </c>
      <c r="G976" t="s">
        <v>59</v>
      </c>
      <c r="H976" s="2">
        <v>40944</v>
      </c>
      <c r="I976">
        <v>61523</v>
      </c>
      <c r="J976">
        <v>0</v>
      </c>
      <c r="K976">
        <v>61523</v>
      </c>
      <c r="L976" s="1" t="s">
        <v>23</v>
      </c>
      <c r="M976" s="1" t="s">
        <v>74</v>
      </c>
      <c r="N976" s="2"/>
      <c r="O976">
        <v>975</v>
      </c>
      <c r="P976">
        <v>0</v>
      </c>
      <c r="Q976" t="s">
        <v>25</v>
      </c>
      <c r="R976">
        <f ca="1">DATEDIF(EMP_RAW_Data[[#This Row],[Hire Date]],IF(EMP_RAW_Data[[#This Row],[Exit Date]]="",TODAY(),EMP_RAW_Data[[#This Row],[Exit Date]]),"Y")</f>
        <v>14</v>
      </c>
      <c r="S976" t="str">
        <f>IF(EMP_RAW_Data[[#This Row],[Status]]=1,"Inactive","Active")</f>
        <v>Active</v>
      </c>
    </row>
    <row r="977" spans="1:19" hidden="1" x14ac:dyDescent="0.3">
      <c r="A977" s="1" t="s">
        <v>1060</v>
      </c>
      <c r="B977" s="1" t="s">
        <v>68</v>
      </c>
      <c r="C977" s="1" t="s">
        <v>58</v>
      </c>
      <c r="D977" s="1" t="s">
        <v>47</v>
      </c>
      <c r="E977" s="1" t="s">
        <v>29</v>
      </c>
      <c r="F977">
        <v>45</v>
      </c>
      <c r="G977" t="s">
        <v>36</v>
      </c>
      <c r="H977" s="2">
        <v>40524</v>
      </c>
      <c r="I977">
        <v>190512</v>
      </c>
      <c r="J977">
        <v>0.32</v>
      </c>
      <c r="K977">
        <v>251475.84</v>
      </c>
      <c r="L977" s="1" t="s">
        <v>23</v>
      </c>
      <c r="M977" s="1" t="s">
        <v>74</v>
      </c>
      <c r="N977" s="2"/>
      <c r="O977">
        <v>976</v>
      </c>
      <c r="P977">
        <v>0</v>
      </c>
      <c r="Q977" t="s">
        <v>25</v>
      </c>
      <c r="R977">
        <f ca="1">DATEDIF(EMP_RAW_Data[[#This Row],[Hire Date]],IF(EMP_RAW_Data[[#This Row],[Exit Date]]="",TODAY(),EMP_RAW_Data[[#This Row],[Exit Date]]),"Y")</f>
        <v>15</v>
      </c>
      <c r="S977" t="str">
        <f>IF(EMP_RAW_Data[[#This Row],[Status]]=1,"Inactive","Active")</f>
        <v>Active</v>
      </c>
    </row>
    <row r="978" spans="1:19" hidden="1" x14ac:dyDescent="0.3">
      <c r="A978" s="1" t="s">
        <v>1061</v>
      </c>
      <c r="B978" s="1" t="s">
        <v>61</v>
      </c>
      <c r="C978" s="1" t="s">
        <v>62</v>
      </c>
      <c r="D978" s="1" t="s">
        <v>35</v>
      </c>
      <c r="E978" s="1" t="s">
        <v>21</v>
      </c>
      <c r="F978">
        <v>37</v>
      </c>
      <c r="G978" t="s">
        <v>59</v>
      </c>
      <c r="H978" s="2">
        <v>41318</v>
      </c>
      <c r="I978">
        <v>124827</v>
      </c>
      <c r="J978">
        <v>0</v>
      </c>
      <c r="K978">
        <v>124827</v>
      </c>
      <c r="L978" s="1" t="s">
        <v>30</v>
      </c>
      <c r="M978" s="1" t="s">
        <v>90</v>
      </c>
      <c r="N978" s="2"/>
      <c r="O978">
        <v>977</v>
      </c>
      <c r="P978">
        <v>0</v>
      </c>
      <c r="Q978" t="s">
        <v>25</v>
      </c>
      <c r="R978">
        <f ca="1">DATEDIF(EMP_RAW_Data[[#This Row],[Hire Date]],IF(EMP_RAW_Data[[#This Row],[Exit Date]]="",TODAY(),EMP_RAW_Data[[#This Row],[Exit Date]]),"Y")</f>
        <v>13</v>
      </c>
      <c r="S978" t="str">
        <f>IF(EMP_RAW_Data[[#This Row],[Status]]=1,"Inactive","Active")</f>
        <v>Active</v>
      </c>
    </row>
    <row r="979" spans="1:19" hidden="1" x14ac:dyDescent="0.3">
      <c r="A979" s="1" t="s">
        <v>1062</v>
      </c>
      <c r="B979" s="1" t="s">
        <v>49</v>
      </c>
      <c r="C979" s="1" t="s">
        <v>54</v>
      </c>
      <c r="D979" s="1" t="s">
        <v>28</v>
      </c>
      <c r="E979" s="1" t="s">
        <v>29</v>
      </c>
      <c r="F979">
        <v>57</v>
      </c>
      <c r="G979" t="s">
        <v>22</v>
      </c>
      <c r="H979" s="2">
        <v>43484</v>
      </c>
      <c r="I979">
        <v>101577</v>
      </c>
      <c r="J979">
        <v>0.05</v>
      </c>
      <c r="K979">
        <v>106655.85</v>
      </c>
      <c r="L979" s="1" t="s">
        <v>23</v>
      </c>
      <c r="M979" s="1" t="s">
        <v>37</v>
      </c>
      <c r="N979" s="2"/>
      <c r="O979">
        <v>978</v>
      </c>
      <c r="P979">
        <v>0</v>
      </c>
      <c r="Q979" t="s">
        <v>25</v>
      </c>
      <c r="R979">
        <f ca="1">DATEDIF(EMP_RAW_Data[[#This Row],[Hire Date]],IF(EMP_RAW_Data[[#This Row],[Exit Date]]="",TODAY(),EMP_RAW_Data[[#This Row],[Exit Date]]),"Y")</f>
        <v>7</v>
      </c>
      <c r="S979" t="str">
        <f>IF(EMP_RAW_Data[[#This Row],[Status]]=1,"Inactive","Active")</f>
        <v>Active</v>
      </c>
    </row>
    <row r="980" spans="1:19" hidden="1" x14ac:dyDescent="0.3">
      <c r="A980" s="1" t="s">
        <v>1063</v>
      </c>
      <c r="B980" s="1" t="s">
        <v>49</v>
      </c>
      <c r="C980" s="1" t="s">
        <v>54</v>
      </c>
      <c r="D980" s="1" t="s">
        <v>28</v>
      </c>
      <c r="E980" s="1" t="s">
        <v>21</v>
      </c>
      <c r="F980">
        <v>44</v>
      </c>
      <c r="G980" t="s">
        <v>59</v>
      </c>
      <c r="H980" s="2">
        <v>38642</v>
      </c>
      <c r="I980">
        <v>105223</v>
      </c>
      <c r="J980">
        <v>0.1</v>
      </c>
      <c r="K980">
        <v>115745.3</v>
      </c>
      <c r="L980" s="1" t="s">
        <v>23</v>
      </c>
      <c r="M980" s="1" t="s">
        <v>43</v>
      </c>
      <c r="N980" s="2"/>
      <c r="O980">
        <v>979</v>
      </c>
      <c r="P980">
        <v>0</v>
      </c>
      <c r="Q980" t="s">
        <v>25</v>
      </c>
      <c r="R980">
        <f ca="1">DATEDIF(EMP_RAW_Data[[#This Row],[Hire Date]],IF(EMP_RAW_Data[[#This Row],[Exit Date]]="",TODAY(),EMP_RAW_Data[[#This Row],[Exit Date]]),"Y")</f>
        <v>20</v>
      </c>
      <c r="S980" t="str">
        <f>IF(EMP_RAW_Data[[#This Row],[Status]]=1,"Inactive","Active")</f>
        <v>Active</v>
      </c>
    </row>
    <row r="981" spans="1:19" hidden="1" x14ac:dyDescent="0.3">
      <c r="A981" s="1" t="s">
        <v>1064</v>
      </c>
      <c r="B981" s="1" t="s">
        <v>267</v>
      </c>
      <c r="C981" s="1" t="s">
        <v>19</v>
      </c>
      <c r="D981" s="1" t="s">
        <v>47</v>
      </c>
      <c r="E981" s="1" t="s">
        <v>29</v>
      </c>
      <c r="F981">
        <v>48</v>
      </c>
      <c r="G981" t="s">
        <v>36</v>
      </c>
      <c r="H981" s="2">
        <v>39635</v>
      </c>
      <c r="I981">
        <v>94815</v>
      </c>
      <c r="J981">
        <v>0</v>
      </c>
      <c r="K981">
        <v>94815</v>
      </c>
      <c r="L981" s="1" t="s">
        <v>23</v>
      </c>
      <c r="M981" s="1" t="s">
        <v>37</v>
      </c>
      <c r="N981" s="2"/>
      <c r="O981">
        <v>980</v>
      </c>
      <c r="P981">
        <v>0</v>
      </c>
      <c r="Q981" t="s">
        <v>25</v>
      </c>
      <c r="R981">
        <f ca="1">DATEDIF(EMP_RAW_Data[[#This Row],[Hire Date]],IF(EMP_RAW_Data[[#This Row],[Exit Date]]="",TODAY(),EMP_RAW_Data[[#This Row],[Exit Date]]),"Y")</f>
        <v>17</v>
      </c>
      <c r="S981" t="str">
        <f>IF(EMP_RAW_Data[[#This Row],[Status]]=1,"Inactive","Active")</f>
        <v>Active</v>
      </c>
    </row>
    <row r="982" spans="1:19" hidden="1" x14ac:dyDescent="0.3">
      <c r="A982" s="1" t="s">
        <v>1065</v>
      </c>
      <c r="B982" s="1" t="s">
        <v>49</v>
      </c>
      <c r="C982" s="1" t="s">
        <v>54</v>
      </c>
      <c r="D982" s="1" t="s">
        <v>35</v>
      </c>
      <c r="E982" s="1" t="s">
        <v>21</v>
      </c>
      <c r="F982">
        <v>25</v>
      </c>
      <c r="G982" t="s">
        <v>40</v>
      </c>
      <c r="H982" s="2">
        <v>44545</v>
      </c>
      <c r="I982">
        <v>114893</v>
      </c>
      <c r="J982">
        <v>0.06</v>
      </c>
      <c r="K982">
        <v>121786.58</v>
      </c>
      <c r="L982" s="1" t="s">
        <v>30</v>
      </c>
      <c r="M982" s="1" t="s">
        <v>102</v>
      </c>
      <c r="N982" s="2"/>
      <c r="O982">
        <v>981</v>
      </c>
      <c r="P982">
        <v>0</v>
      </c>
      <c r="Q982" t="s">
        <v>25</v>
      </c>
      <c r="R982">
        <f ca="1">DATEDIF(EMP_RAW_Data[[#This Row],[Hire Date]],IF(EMP_RAW_Data[[#This Row],[Exit Date]]="",TODAY(),EMP_RAW_Data[[#This Row],[Exit Date]]),"Y")</f>
        <v>4</v>
      </c>
      <c r="S982" t="str">
        <f>IF(EMP_RAW_Data[[#This Row],[Status]]=1,"Inactive","Active")</f>
        <v>Active</v>
      </c>
    </row>
    <row r="983" spans="1:19" hidden="1" x14ac:dyDescent="0.3">
      <c r="A983" s="1" t="s">
        <v>1066</v>
      </c>
      <c r="B983" s="1" t="s">
        <v>42</v>
      </c>
      <c r="C983" s="1" t="s">
        <v>69</v>
      </c>
      <c r="D983" s="1" t="s">
        <v>35</v>
      </c>
      <c r="E983" s="1" t="s">
        <v>21</v>
      </c>
      <c r="F983">
        <v>35</v>
      </c>
      <c r="G983" t="s">
        <v>59</v>
      </c>
      <c r="H983" s="2">
        <v>42745</v>
      </c>
      <c r="I983">
        <v>80622</v>
      </c>
      <c r="J983">
        <v>0</v>
      </c>
      <c r="K983">
        <v>80622</v>
      </c>
      <c r="L983" s="1" t="s">
        <v>23</v>
      </c>
      <c r="M983" s="1" t="s">
        <v>55</v>
      </c>
      <c r="N983" s="2"/>
      <c r="O983">
        <v>982</v>
      </c>
      <c r="P983">
        <v>0</v>
      </c>
      <c r="Q983" t="s">
        <v>25</v>
      </c>
      <c r="R983">
        <f ca="1">DATEDIF(EMP_RAW_Data[[#This Row],[Hire Date]],IF(EMP_RAW_Data[[#This Row],[Exit Date]]="",TODAY(),EMP_RAW_Data[[#This Row],[Exit Date]]),"Y")</f>
        <v>9</v>
      </c>
      <c r="S983" t="str">
        <f>IF(EMP_RAW_Data[[#This Row],[Status]]=1,"Inactive","Active")</f>
        <v>Active</v>
      </c>
    </row>
    <row r="984" spans="1:19" x14ac:dyDescent="0.3">
      <c r="A984" s="1" t="s">
        <v>1067</v>
      </c>
      <c r="B984" s="1" t="s">
        <v>68</v>
      </c>
      <c r="C984" s="1" t="s">
        <v>19</v>
      </c>
      <c r="D984" s="1" t="s">
        <v>35</v>
      </c>
      <c r="E984" s="1" t="s">
        <v>21</v>
      </c>
      <c r="F984">
        <v>57</v>
      </c>
      <c r="G984" t="s">
        <v>22</v>
      </c>
      <c r="H984" s="2">
        <v>42685</v>
      </c>
      <c r="I984">
        <v>246589</v>
      </c>
      <c r="J984">
        <v>0.33</v>
      </c>
      <c r="K984">
        <v>327963.37</v>
      </c>
      <c r="L984" s="1" t="s">
        <v>23</v>
      </c>
      <c r="M984" s="1" t="s">
        <v>43</v>
      </c>
      <c r="N984" s="2">
        <v>42820</v>
      </c>
      <c r="O984">
        <v>983</v>
      </c>
      <c r="P984">
        <v>1</v>
      </c>
      <c r="Q984" t="s">
        <v>25</v>
      </c>
      <c r="R984">
        <f ca="1">DATEDIF(EMP_RAW_Data[[#This Row],[Hire Date]],IF(EMP_RAW_Data[[#This Row],[Exit Date]]="",TODAY(),EMP_RAW_Data[[#This Row],[Exit Date]]),"Y")</f>
        <v>0</v>
      </c>
      <c r="S984" t="str">
        <f>IF(EMP_RAW_Data[[#This Row],[Status]]=1,"Inactive","Active")</f>
        <v>Inactive</v>
      </c>
    </row>
    <row r="985" spans="1:19" x14ac:dyDescent="0.3">
      <c r="A985" s="1" t="s">
        <v>1068</v>
      </c>
      <c r="B985" s="1" t="s">
        <v>49</v>
      </c>
      <c r="C985" s="1" t="s">
        <v>69</v>
      </c>
      <c r="D985" s="1" t="s">
        <v>35</v>
      </c>
      <c r="E985" s="1" t="s">
        <v>29</v>
      </c>
      <c r="F985">
        <v>49</v>
      </c>
      <c r="G985" t="s">
        <v>36</v>
      </c>
      <c r="H985" s="2">
        <v>43240</v>
      </c>
      <c r="I985">
        <v>119397</v>
      </c>
      <c r="J985">
        <v>0.09</v>
      </c>
      <c r="K985">
        <v>130142.73</v>
      </c>
      <c r="L985" s="1" t="s">
        <v>30</v>
      </c>
      <c r="M985" s="1" t="s">
        <v>90</v>
      </c>
      <c r="N985" s="2">
        <v>43538</v>
      </c>
      <c r="O985">
        <v>984</v>
      </c>
      <c r="P985">
        <v>1</v>
      </c>
      <c r="Q985" t="s">
        <v>25</v>
      </c>
      <c r="R985">
        <f ca="1">DATEDIF(EMP_RAW_Data[[#This Row],[Hire Date]],IF(EMP_RAW_Data[[#This Row],[Exit Date]]="",TODAY(),EMP_RAW_Data[[#This Row],[Exit Date]]),"Y")</f>
        <v>0</v>
      </c>
      <c r="S985" t="str">
        <f>IF(EMP_RAW_Data[[#This Row],[Status]]=1,"Inactive","Active")</f>
        <v>Inactive</v>
      </c>
    </row>
    <row r="986" spans="1:19" hidden="1" x14ac:dyDescent="0.3">
      <c r="A986" s="1" t="s">
        <v>1069</v>
      </c>
      <c r="B986" s="1" t="s">
        <v>33</v>
      </c>
      <c r="C986" s="1" t="s">
        <v>46</v>
      </c>
      <c r="D986" s="1" t="s">
        <v>47</v>
      </c>
      <c r="E986" s="1" t="s">
        <v>21</v>
      </c>
      <c r="F986">
        <v>25</v>
      </c>
      <c r="G986" t="s">
        <v>40</v>
      </c>
      <c r="H986" s="2">
        <v>44549</v>
      </c>
      <c r="I986">
        <v>150666</v>
      </c>
      <c r="J986">
        <v>0.23</v>
      </c>
      <c r="K986">
        <v>185319.18</v>
      </c>
      <c r="L986" s="1" t="s">
        <v>30</v>
      </c>
      <c r="M986" s="1" t="s">
        <v>102</v>
      </c>
      <c r="N986" s="2"/>
      <c r="O986">
        <v>985</v>
      </c>
      <c r="P986">
        <v>0</v>
      </c>
      <c r="Q986" t="s">
        <v>25</v>
      </c>
      <c r="R986">
        <f ca="1">DATEDIF(EMP_RAW_Data[[#This Row],[Hire Date]],IF(EMP_RAW_Data[[#This Row],[Exit Date]]="",TODAY(),EMP_RAW_Data[[#This Row],[Exit Date]]),"Y")</f>
        <v>4</v>
      </c>
      <c r="S986" t="str">
        <f>IF(EMP_RAW_Data[[#This Row],[Status]]=1,"Inactive","Active")</f>
        <v>Active</v>
      </c>
    </row>
    <row r="987" spans="1:19" hidden="1" x14ac:dyDescent="0.3">
      <c r="A987" s="1" t="s">
        <v>1070</v>
      </c>
      <c r="B987" s="1" t="s">
        <v>18</v>
      </c>
      <c r="C987" s="1" t="s">
        <v>19</v>
      </c>
      <c r="D987" s="1" t="s">
        <v>20</v>
      </c>
      <c r="E987" s="1" t="s">
        <v>21</v>
      </c>
      <c r="F987">
        <v>46</v>
      </c>
      <c r="G987" t="s">
        <v>36</v>
      </c>
      <c r="H987" s="2">
        <v>37265</v>
      </c>
      <c r="I987">
        <v>148035</v>
      </c>
      <c r="J987">
        <v>0.14000000000000001</v>
      </c>
      <c r="K987">
        <v>168759.9</v>
      </c>
      <c r="L987" s="1" t="s">
        <v>23</v>
      </c>
      <c r="M987" s="1" t="s">
        <v>43</v>
      </c>
      <c r="N987" s="2"/>
      <c r="O987">
        <v>986</v>
      </c>
      <c r="P987">
        <v>0</v>
      </c>
      <c r="Q987" t="s">
        <v>25</v>
      </c>
      <c r="R987">
        <f ca="1">DATEDIF(EMP_RAW_Data[[#This Row],[Hire Date]],IF(EMP_RAW_Data[[#This Row],[Exit Date]]="",TODAY(),EMP_RAW_Data[[#This Row],[Exit Date]]),"Y")</f>
        <v>24</v>
      </c>
      <c r="S987" t="str">
        <f>IF(EMP_RAW_Data[[#This Row],[Status]]=1,"Inactive","Active")</f>
        <v>Active</v>
      </c>
    </row>
    <row r="988" spans="1:19" hidden="1" x14ac:dyDescent="0.3">
      <c r="A988" s="1" t="s">
        <v>1071</v>
      </c>
      <c r="B988" s="1" t="s">
        <v>33</v>
      </c>
      <c r="C988" s="1" t="s">
        <v>34</v>
      </c>
      <c r="D988" s="1" t="s">
        <v>47</v>
      </c>
      <c r="E988" s="1" t="s">
        <v>29</v>
      </c>
      <c r="F988">
        <v>60</v>
      </c>
      <c r="G988" t="s">
        <v>22</v>
      </c>
      <c r="H988" s="2">
        <v>42891</v>
      </c>
      <c r="I988">
        <v>158898</v>
      </c>
      <c r="J988">
        <v>0.18</v>
      </c>
      <c r="K988">
        <v>187499.64</v>
      </c>
      <c r="L988" s="1" t="s">
        <v>23</v>
      </c>
      <c r="M988" s="1" t="s">
        <v>52</v>
      </c>
      <c r="N988" s="2"/>
      <c r="O988">
        <v>987</v>
      </c>
      <c r="P988">
        <v>0</v>
      </c>
      <c r="Q988" t="s">
        <v>25</v>
      </c>
      <c r="R988">
        <f ca="1">DATEDIF(EMP_RAW_Data[[#This Row],[Hire Date]],IF(EMP_RAW_Data[[#This Row],[Exit Date]]="",TODAY(),EMP_RAW_Data[[#This Row],[Exit Date]]),"Y")</f>
        <v>8</v>
      </c>
      <c r="S988" t="str">
        <f>IF(EMP_RAW_Data[[#This Row],[Status]]=1,"Inactive","Active")</f>
        <v>Active</v>
      </c>
    </row>
    <row r="989" spans="1:19" hidden="1" x14ac:dyDescent="0.3">
      <c r="A989" s="1" t="s">
        <v>1072</v>
      </c>
      <c r="B989" s="1" t="s">
        <v>124</v>
      </c>
      <c r="C989" s="1" t="s">
        <v>62</v>
      </c>
      <c r="D989" s="1" t="s">
        <v>47</v>
      </c>
      <c r="E989" s="1" t="s">
        <v>21</v>
      </c>
      <c r="F989">
        <v>45</v>
      </c>
      <c r="G989" t="s">
        <v>36</v>
      </c>
      <c r="H989" s="2">
        <v>40967</v>
      </c>
      <c r="I989">
        <v>89659</v>
      </c>
      <c r="J989">
        <v>0</v>
      </c>
      <c r="K989">
        <v>89659</v>
      </c>
      <c r="L989" s="1" t="s">
        <v>30</v>
      </c>
      <c r="M989" s="1" t="s">
        <v>90</v>
      </c>
      <c r="N989" s="2"/>
      <c r="O989">
        <v>988</v>
      </c>
      <c r="P989">
        <v>0</v>
      </c>
      <c r="Q989" t="s">
        <v>25</v>
      </c>
      <c r="R989">
        <f ca="1">DATEDIF(EMP_RAW_Data[[#This Row],[Hire Date]],IF(EMP_RAW_Data[[#This Row],[Exit Date]]="",TODAY(),EMP_RAW_Data[[#This Row],[Exit Date]]),"Y")</f>
        <v>14</v>
      </c>
      <c r="S989" t="str">
        <f>IF(EMP_RAW_Data[[#This Row],[Status]]=1,"Inactive","Active")</f>
        <v>Active</v>
      </c>
    </row>
    <row r="990" spans="1:19" hidden="1" x14ac:dyDescent="0.3">
      <c r="A990" s="1" t="s">
        <v>1073</v>
      </c>
      <c r="B990" s="1" t="s">
        <v>33</v>
      </c>
      <c r="C990" s="1" t="s">
        <v>46</v>
      </c>
      <c r="D990" s="1" t="s">
        <v>35</v>
      </c>
      <c r="E990" s="1" t="s">
        <v>21</v>
      </c>
      <c r="F990">
        <v>39</v>
      </c>
      <c r="G990" t="s">
        <v>59</v>
      </c>
      <c r="H990" s="2">
        <v>39201</v>
      </c>
      <c r="I990">
        <v>171487</v>
      </c>
      <c r="J990">
        <v>0.23</v>
      </c>
      <c r="K990">
        <v>210929.01</v>
      </c>
      <c r="L990" s="1" t="s">
        <v>23</v>
      </c>
      <c r="M990" s="1" t="s">
        <v>43</v>
      </c>
      <c r="N990" s="2"/>
      <c r="O990">
        <v>989</v>
      </c>
      <c r="P990">
        <v>0</v>
      </c>
      <c r="Q990" t="s">
        <v>25</v>
      </c>
      <c r="R990">
        <f ca="1">DATEDIF(EMP_RAW_Data[[#This Row],[Hire Date]],IF(EMP_RAW_Data[[#This Row],[Exit Date]]="",TODAY(),EMP_RAW_Data[[#This Row],[Exit Date]]),"Y")</f>
        <v>18</v>
      </c>
      <c r="S990" t="str">
        <f>IF(EMP_RAW_Data[[#This Row],[Status]]=1,"Inactive","Active")</f>
        <v>Active</v>
      </c>
    </row>
    <row r="991" spans="1:19" hidden="1" x14ac:dyDescent="0.3">
      <c r="A991" s="1" t="s">
        <v>1074</v>
      </c>
      <c r="B991" s="1" t="s">
        <v>68</v>
      </c>
      <c r="C991" s="1" t="s">
        <v>46</v>
      </c>
      <c r="D991" s="1" t="s">
        <v>28</v>
      </c>
      <c r="E991" s="1" t="s">
        <v>21</v>
      </c>
      <c r="F991">
        <v>43</v>
      </c>
      <c r="G991" t="s">
        <v>59</v>
      </c>
      <c r="H991" s="2">
        <v>42603</v>
      </c>
      <c r="I991">
        <v>258498</v>
      </c>
      <c r="J991">
        <v>0.35</v>
      </c>
      <c r="K991">
        <v>348972.3</v>
      </c>
      <c r="L991" s="1" t="s">
        <v>23</v>
      </c>
      <c r="M991" s="1" t="s">
        <v>74</v>
      </c>
      <c r="N991" s="2"/>
      <c r="O991">
        <v>990</v>
      </c>
      <c r="P991">
        <v>0</v>
      </c>
      <c r="Q991" t="s">
        <v>25</v>
      </c>
      <c r="R991">
        <f ca="1">DATEDIF(EMP_RAW_Data[[#This Row],[Hire Date]],IF(EMP_RAW_Data[[#This Row],[Exit Date]]="",TODAY(),EMP_RAW_Data[[#This Row],[Exit Date]]),"Y")</f>
        <v>9</v>
      </c>
      <c r="S991" t="str">
        <f>IF(EMP_RAW_Data[[#This Row],[Status]]=1,"Inactive","Active")</f>
        <v>Active</v>
      </c>
    </row>
    <row r="992" spans="1:19" hidden="1" x14ac:dyDescent="0.3">
      <c r="A992" s="1" t="s">
        <v>1075</v>
      </c>
      <c r="B992" s="1" t="s">
        <v>18</v>
      </c>
      <c r="C992" s="1" t="s">
        <v>19</v>
      </c>
      <c r="D992" s="1" t="s">
        <v>20</v>
      </c>
      <c r="E992" s="1" t="s">
        <v>29</v>
      </c>
      <c r="F992">
        <v>37</v>
      </c>
      <c r="G992" t="s">
        <v>59</v>
      </c>
      <c r="H992" s="2">
        <v>40511</v>
      </c>
      <c r="I992">
        <v>146961</v>
      </c>
      <c r="J992">
        <v>0.11</v>
      </c>
      <c r="K992">
        <v>163126.71</v>
      </c>
      <c r="L992" s="1" t="s">
        <v>23</v>
      </c>
      <c r="M992" s="1" t="s">
        <v>74</v>
      </c>
      <c r="N992" s="2"/>
      <c r="O992">
        <v>991</v>
      </c>
      <c r="P992">
        <v>0</v>
      </c>
      <c r="Q992" t="s">
        <v>25</v>
      </c>
      <c r="R992">
        <f ca="1">DATEDIF(EMP_RAW_Data[[#This Row],[Hire Date]],IF(EMP_RAW_Data[[#This Row],[Exit Date]]="",TODAY(),EMP_RAW_Data[[#This Row],[Exit Date]]),"Y")</f>
        <v>15</v>
      </c>
      <c r="S992" t="str">
        <f>IF(EMP_RAW_Data[[#This Row],[Status]]=1,"Inactive","Active")</f>
        <v>Active</v>
      </c>
    </row>
    <row r="993" spans="1:19" x14ac:dyDescent="0.3">
      <c r="A993" s="1" t="s">
        <v>1076</v>
      </c>
      <c r="B993" s="1" t="s">
        <v>107</v>
      </c>
      <c r="C993" s="1" t="s">
        <v>58</v>
      </c>
      <c r="D993" s="1" t="s">
        <v>20</v>
      </c>
      <c r="E993" s="1" t="s">
        <v>29</v>
      </c>
      <c r="F993">
        <v>48</v>
      </c>
      <c r="G993" t="s">
        <v>36</v>
      </c>
      <c r="H993" s="2">
        <v>35907</v>
      </c>
      <c r="I993">
        <v>85369</v>
      </c>
      <c r="J993">
        <v>0</v>
      </c>
      <c r="K993">
        <v>85369</v>
      </c>
      <c r="L993" s="1" t="s">
        <v>77</v>
      </c>
      <c r="M993" s="1" t="s">
        <v>78</v>
      </c>
      <c r="N993" s="2">
        <v>38318</v>
      </c>
      <c r="O993">
        <v>992</v>
      </c>
      <c r="P993">
        <v>1</v>
      </c>
      <c r="Q993" t="s">
        <v>25</v>
      </c>
      <c r="R993">
        <f ca="1">DATEDIF(EMP_RAW_Data[[#This Row],[Hire Date]],IF(EMP_RAW_Data[[#This Row],[Exit Date]]="",TODAY(),EMP_RAW_Data[[#This Row],[Exit Date]]),"Y")</f>
        <v>6</v>
      </c>
      <c r="S993" t="str">
        <f>IF(EMP_RAW_Data[[#This Row],[Status]]=1,"Inactive","Active")</f>
        <v>Inactive</v>
      </c>
    </row>
    <row r="994" spans="1:19" hidden="1" x14ac:dyDescent="0.3">
      <c r="A994" s="1" t="s">
        <v>1077</v>
      </c>
      <c r="B994" s="1" t="s">
        <v>27</v>
      </c>
      <c r="C994" s="1" t="s">
        <v>19</v>
      </c>
      <c r="D994" s="1" t="s">
        <v>28</v>
      </c>
      <c r="E994" s="1" t="s">
        <v>29</v>
      </c>
      <c r="F994">
        <v>30</v>
      </c>
      <c r="G994" t="s">
        <v>40</v>
      </c>
      <c r="H994" s="2">
        <v>42169</v>
      </c>
      <c r="I994">
        <v>67489</v>
      </c>
      <c r="J994">
        <v>0</v>
      </c>
      <c r="K994">
        <v>67489</v>
      </c>
      <c r="L994" s="1" t="s">
        <v>23</v>
      </c>
      <c r="M994" s="1" t="s">
        <v>37</v>
      </c>
      <c r="N994" s="2"/>
      <c r="O994">
        <v>993</v>
      </c>
      <c r="P994">
        <v>0</v>
      </c>
      <c r="Q994" t="s">
        <v>25</v>
      </c>
      <c r="R994">
        <f ca="1">DATEDIF(EMP_RAW_Data[[#This Row],[Hire Date]],IF(EMP_RAW_Data[[#This Row],[Exit Date]]="",TODAY(),EMP_RAW_Data[[#This Row],[Exit Date]]),"Y")</f>
        <v>10</v>
      </c>
      <c r="S994" t="str">
        <f>IF(EMP_RAW_Data[[#This Row],[Status]]=1,"Inactive","Active")</f>
        <v>Active</v>
      </c>
    </row>
    <row r="995" spans="1:19" hidden="1" x14ac:dyDescent="0.3">
      <c r="A995" s="1" t="s">
        <v>1078</v>
      </c>
      <c r="B995" s="1" t="s">
        <v>33</v>
      </c>
      <c r="C995" s="1" t="s">
        <v>19</v>
      </c>
      <c r="D995" s="1" t="s">
        <v>28</v>
      </c>
      <c r="E995" s="1" t="s">
        <v>21</v>
      </c>
      <c r="F995">
        <v>46</v>
      </c>
      <c r="G995" t="s">
        <v>36</v>
      </c>
      <c r="H995" s="2">
        <v>43379</v>
      </c>
      <c r="I995">
        <v>166259</v>
      </c>
      <c r="J995">
        <v>0.17</v>
      </c>
      <c r="K995">
        <v>194523.03</v>
      </c>
      <c r="L995" s="1" t="s">
        <v>23</v>
      </c>
      <c r="M995" s="1" t="s">
        <v>37</v>
      </c>
      <c r="N995" s="2"/>
      <c r="O995">
        <v>994</v>
      </c>
      <c r="P995">
        <v>0</v>
      </c>
      <c r="Q995" t="s">
        <v>25</v>
      </c>
      <c r="R995">
        <f ca="1">DATEDIF(EMP_RAW_Data[[#This Row],[Hire Date]],IF(EMP_RAW_Data[[#This Row],[Exit Date]]="",TODAY(),EMP_RAW_Data[[#This Row],[Exit Date]]),"Y")</f>
        <v>7</v>
      </c>
      <c r="S995" t="str">
        <f>IF(EMP_RAW_Data[[#This Row],[Status]]=1,"Inactive","Active")</f>
        <v>Active</v>
      </c>
    </row>
    <row r="996" spans="1:19" hidden="1" x14ac:dyDescent="0.3">
      <c r="A996" s="1" t="s">
        <v>1079</v>
      </c>
      <c r="B996" s="1" t="s">
        <v>208</v>
      </c>
      <c r="C996" s="1" t="s">
        <v>19</v>
      </c>
      <c r="D996" s="1" t="s">
        <v>47</v>
      </c>
      <c r="E996" s="1" t="s">
        <v>21</v>
      </c>
      <c r="F996">
        <v>55</v>
      </c>
      <c r="G996" t="s">
        <v>22</v>
      </c>
      <c r="H996" s="2">
        <v>39820</v>
      </c>
      <c r="I996">
        <v>47032</v>
      </c>
      <c r="J996">
        <v>0</v>
      </c>
      <c r="K996">
        <v>47032</v>
      </c>
      <c r="L996" s="1" t="s">
        <v>23</v>
      </c>
      <c r="M996" s="1" t="s">
        <v>74</v>
      </c>
      <c r="N996" s="2"/>
      <c r="O996">
        <v>995</v>
      </c>
      <c r="P996">
        <v>0</v>
      </c>
      <c r="Q996" t="s">
        <v>25</v>
      </c>
      <c r="R996">
        <f ca="1">DATEDIF(EMP_RAW_Data[[#This Row],[Hire Date]],IF(EMP_RAW_Data[[#This Row],[Exit Date]]="",TODAY(),EMP_RAW_Data[[#This Row],[Exit Date]]),"Y")</f>
        <v>17</v>
      </c>
      <c r="S996" t="str">
        <f>IF(EMP_RAW_Data[[#This Row],[Status]]=1,"Inactive","Active")</f>
        <v>Active</v>
      </c>
    </row>
    <row r="997" spans="1:19" hidden="1" x14ac:dyDescent="0.3">
      <c r="A997" s="1" t="s">
        <v>1080</v>
      </c>
      <c r="B997" s="1" t="s">
        <v>42</v>
      </c>
      <c r="C997" s="1" t="s">
        <v>69</v>
      </c>
      <c r="D997" s="1" t="s">
        <v>35</v>
      </c>
      <c r="E997" s="1" t="s">
        <v>29</v>
      </c>
      <c r="F997">
        <v>33</v>
      </c>
      <c r="G997" t="s">
        <v>40</v>
      </c>
      <c r="H997" s="2">
        <v>42631</v>
      </c>
      <c r="I997">
        <v>98427</v>
      </c>
      <c r="J997">
        <v>0</v>
      </c>
      <c r="K997">
        <v>98427</v>
      </c>
      <c r="L997" s="1" t="s">
        <v>23</v>
      </c>
      <c r="M997" s="1" t="s">
        <v>74</v>
      </c>
      <c r="N997" s="2"/>
      <c r="O997">
        <v>996</v>
      </c>
      <c r="P997">
        <v>0</v>
      </c>
      <c r="Q997" t="s">
        <v>25</v>
      </c>
      <c r="R997">
        <f ca="1">DATEDIF(EMP_RAW_Data[[#This Row],[Hire Date]],IF(EMP_RAW_Data[[#This Row],[Exit Date]]="",TODAY(),EMP_RAW_Data[[#This Row],[Exit Date]]),"Y")</f>
        <v>9</v>
      </c>
      <c r="S997" t="str">
        <f>IF(EMP_RAW_Data[[#This Row],[Status]]=1,"Inactive","Active")</f>
        <v>Active</v>
      </c>
    </row>
    <row r="998" spans="1:19" x14ac:dyDescent="0.3">
      <c r="A998" s="1" t="s">
        <v>1081</v>
      </c>
      <c r="B998" s="1" t="s">
        <v>51</v>
      </c>
      <c r="C998" s="1" t="s">
        <v>34</v>
      </c>
      <c r="D998" s="1" t="s">
        <v>35</v>
      </c>
      <c r="E998" s="1" t="s">
        <v>21</v>
      </c>
      <c r="F998">
        <v>44</v>
      </c>
      <c r="G998" t="s">
        <v>59</v>
      </c>
      <c r="H998" s="2">
        <v>40329</v>
      </c>
      <c r="I998">
        <v>47387</v>
      </c>
      <c r="J998">
        <v>0</v>
      </c>
      <c r="K998">
        <v>47387</v>
      </c>
      <c r="L998" s="1" t="s">
        <v>30</v>
      </c>
      <c r="M998" s="1" t="s">
        <v>102</v>
      </c>
      <c r="N998" s="2">
        <v>43108</v>
      </c>
      <c r="O998">
        <v>997</v>
      </c>
      <c r="P998">
        <v>1</v>
      </c>
      <c r="Q998" t="s">
        <v>25</v>
      </c>
      <c r="R998">
        <f ca="1">DATEDIF(EMP_RAW_Data[[#This Row],[Hire Date]],IF(EMP_RAW_Data[[#This Row],[Exit Date]]="",TODAY(),EMP_RAW_Data[[#This Row],[Exit Date]]),"Y")</f>
        <v>7</v>
      </c>
      <c r="S998" t="str">
        <f>IF(EMP_RAW_Data[[#This Row],[Status]]=1,"Inactive","Active")</f>
        <v>Inactive</v>
      </c>
    </row>
    <row r="999" spans="1:19" hidden="1" x14ac:dyDescent="0.3">
      <c r="A999" s="1" t="s">
        <v>1082</v>
      </c>
      <c r="B999" s="1" t="s">
        <v>33</v>
      </c>
      <c r="C999" s="1" t="s">
        <v>69</v>
      </c>
      <c r="D999" s="1" t="s">
        <v>35</v>
      </c>
      <c r="E999" s="1" t="s">
        <v>29</v>
      </c>
      <c r="F999">
        <v>31</v>
      </c>
      <c r="G999" t="s">
        <v>40</v>
      </c>
      <c r="H999" s="2">
        <v>43626</v>
      </c>
      <c r="I999">
        <v>176710</v>
      </c>
      <c r="J999">
        <v>0.15</v>
      </c>
      <c r="K999">
        <v>203216.5</v>
      </c>
      <c r="L999" s="1" t="s">
        <v>23</v>
      </c>
      <c r="M999" s="1" t="s">
        <v>52</v>
      </c>
      <c r="N999" s="2"/>
      <c r="O999">
        <v>998</v>
      </c>
      <c r="P999">
        <v>0</v>
      </c>
      <c r="Q999" t="s">
        <v>25</v>
      </c>
      <c r="R999">
        <f ca="1">DATEDIF(EMP_RAW_Data[[#This Row],[Hire Date]],IF(EMP_RAW_Data[[#This Row],[Exit Date]]="",TODAY(),EMP_RAW_Data[[#This Row],[Exit Date]]),"Y")</f>
        <v>6</v>
      </c>
      <c r="S999" t="str">
        <f>IF(EMP_RAW_Data[[#This Row],[Status]]=1,"Inactive","Active")</f>
        <v>Active</v>
      </c>
    </row>
    <row r="1000" spans="1:19" hidden="1" x14ac:dyDescent="0.3">
      <c r="A1000" s="1" t="s">
        <v>1083</v>
      </c>
      <c r="B1000" s="1" t="s">
        <v>42</v>
      </c>
      <c r="C1000" s="1" t="s">
        <v>34</v>
      </c>
      <c r="D1000" s="1" t="s">
        <v>35</v>
      </c>
      <c r="E1000" s="1" t="s">
        <v>21</v>
      </c>
      <c r="F1000">
        <v>33</v>
      </c>
      <c r="G1000" t="s">
        <v>40</v>
      </c>
      <c r="H1000" s="2">
        <v>40936</v>
      </c>
      <c r="I1000">
        <v>95960</v>
      </c>
      <c r="J1000">
        <v>0</v>
      </c>
      <c r="K1000">
        <v>95960</v>
      </c>
      <c r="L1000" s="1" t="s">
        <v>30</v>
      </c>
      <c r="M1000" s="1" t="s">
        <v>102</v>
      </c>
      <c r="N1000" s="2"/>
      <c r="O1000">
        <v>999</v>
      </c>
      <c r="P1000">
        <v>0</v>
      </c>
      <c r="Q1000" t="s">
        <v>25</v>
      </c>
      <c r="R1000">
        <f ca="1">DATEDIF(EMP_RAW_Data[[#This Row],[Hire Date]],IF(EMP_RAW_Data[[#This Row],[Exit Date]]="",TODAY(),EMP_RAW_Data[[#This Row],[Exit Date]]),"Y")</f>
        <v>14</v>
      </c>
      <c r="S1000" t="str">
        <f>IF(EMP_RAW_Data[[#This Row],[Status]]=1,"Inactive","Active")</f>
        <v>Active</v>
      </c>
    </row>
    <row r="1001" spans="1:19" hidden="1" x14ac:dyDescent="0.3">
      <c r="A1001" s="1" t="s">
        <v>1084</v>
      </c>
      <c r="B1001" s="1" t="s">
        <v>68</v>
      </c>
      <c r="C1001" s="1" t="s">
        <v>54</v>
      </c>
      <c r="D1001" s="1" t="s">
        <v>47</v>
      </c>
      <c r="E1001" s="1" t="s">
        <v>21</v>
      </c>
      <c r="F1001">
        <v>63</v>
      </c>
      <c r="G1001" t="s">
        <v>22</v>
      </c>
      <c r="H1001" s="2">
        <v>44038</v>
      </c>
      <c r="I1001">
        <v>216195</v>
      </c>
      <c r="J1001">
        <v>0.31</v>
      </c>
      <c r="K1001">
        <v>283215.45</v>
      </c>
      <c r="L1001" s="1" t="s">
        <v>23</v>
      </c>
      <c r="M1001" s="1" t="s">
        <v>52</v>
      </c>
      <c r="N1001" s="2"/>
      <c r="O1001">
        <v>1000</v>
      </c>
      <c r="P1001">
        <v>0</v>
      </c>
      <c r="Q1001" t="s">
        <v>25</v>
      </c>
      <c r="R1001">
        <f ca="1">DATEDIF(EMP_RAW_Data[[#This Row],[Hire Date]],IF(EMP_RAW_Data[[#This Row],[Exit Date]]="",TODAY(),EMP_RAW_Data[[#This Row],[Exit Date]]),"Y")</f>
        <v>5</v>
      </c>
      <c r="S1001" t="str">
        <f>IF(EMP_RAW_Data[[#This Row],[Status]]=1,"Inactive","Active")</f>
        <v>Active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886B-1D80-4806-BD81-1A5CC78D5C63}">
  <dimension ref="A2:P51"/>
  <sheetViews>
    <sheetView workbookViewId="0">
      <selection activeCell="B20" sqref="B20"/>
    </sheetView>
  </sheetViews>
  <sheetFormatPr defaultRowHeight="14.4" x14ac:dyDescent="0.3"/>
  <cols>
    <col min="1" max="1" width="15" bestFit="1" customWidth="1"/>
    <col min="2" max="2" width="14.88671875" bestFit="1" customWidth="1"/>
    <col min="5" max="5" width="23.21875" bestFit="1" customWidth="1"/>
    <col min="6" max="6" width="15" bestFit="1" customWidth="1"/>
    <col min="8" max="8" width="24.109375" bestFit="1" customWidth="1"/>
    <col min="9" max="9" width="17.44140625" bestFit="1" customWidth="1"/>
    <col min="10" max="10" width="5.21875" bestFit="1" customWidth="1"/>
    <col min="11" max="11" width="12.5546875" bestFit="1" customWidth="1"/>
    <col min="12" max="12" width="15" bestFit="1" customWidth="1"/>
    <col min="14" max="14" width="12.5546875" bestFit="1" customWidth="1"/>
    <col min="15" max="15" width="15" bestFit="1" customWidth="1"/>
  </cols>
  <sheetData>
    <row r="2" spans="1:16" x14ac:dyDescent="0.3">
      <c r="A2" t="s">
        <v>1085</v>
      </c>
      <c r="E2" s="4" t="s">
        <v>1099</v>
      </c>
      <c r="H2" t="s">
        <v>1100</v>
      </c>
      <c r="K2" t="s">
        <v>1095</v>
      </c>
      <c r="N2" t="s">
        <v>1101</v>
      </c>
    </row>
    <row r="3" spans="1:16" x14ac:dyDescent="0.3">
      <c r="A3" t="s">
        <v>1086</v>
      </c>
      <c r="K3" s="3" t="s">
        <v>1089</v>
      </c>
      <c r="L3" t="s">
        <v>1086</v>
      </c>
      <c r="N3" s="3" t="s">
        <v>1089</v>
      </c>
      <c r="O3" t="s">
        <v>1086</v>
      </c>
    </row>
    <row r="4" spans="1:16" x14ac:dyDescent="0.3">
      <c r="A4" s="1">
        <v>1000</v>
      </c>
      <c r="B4">
        <f>GETPIVOTDATA("[Measures].[Count of EMP ID]",$A$3)</f>
        <v>1000</v>
      </c>
      <c r="E4" s="3" t="s">
        <v>1089</v>
      </c>
      <c r="F4" t="s">
        <v>1086</v>
      </c>
      <c r="H4" s="3" t="s">
        <v>1089</v>
      </c>
      <c r="I4" t="s">
        <v>1094</v>
      </c>
      <c r="K4" s="4" t="s">
        <v>40</v>
      </c>
      <c r="L4" s="1">
        <v>245</v>
      </c>
      <c r="N4" s="4" t="s">
        <v>54</v>
      </c>
      <c r="O4" s="1">
        <v>96</v>
      </c>
      <c r="P4">
        <f>COUNTA(N4:N11)-1</f>
        <v>7</v>
      </c>
    </row>
    <row r="5" spans="1:16" x14ac:dyDescent="0.3">
      <c r="E5" s="4" t="s">
        <v>33</v>
      </c>
      <c r="F5" s="1">
        <v>121</v>
      </c>
      <c r="H5" s="4" t="s">
        <v>68</v>
      </c>
      <c r="I5" s="1">
        <v>31057070.890000004</v>
      </c>
      <c r="K5" s="4" t="s">
        <v>59</v>
      </c>
      <c r="L5" s="1">
        <v>227</v>
      </c>
      <c r="N5" s="4" t="s">
        <v>62</v>
      </c>
      <c r="O5" s="1">
        <v>158</v>
      </c>
    </row>
    <row r="6" spans="1:16" x14ac:dyDescent="0.3">
      <c r="E6" s="4" t="s">
        <v>18</v>
      </c>
      <c r="F6" s="1">
        <v>110</v>
      </c>
      <c r="H6" s="4" t="s">
        <v>33</v>
      </c>
      <c r="I6" s="1">
        <v>25283786.780000009</v>
      </c>
      <c r="K6" s="4" t="s">
        <v>36</v>
      </c>
      <c r="L6" s="1">
        <v>296</v>
      </c>
      <c r="N6" s="4" t="s">
        <v>34</v>
      </c>
      <c r="O6" s="1">
        <v>120</v>
      </c>
    </row>
    <row r="7" spans="1:16" x14ac:dyDescent="0.3">
      <c r="A7" s="3" t="s">
        <v>1089</v>
      </c>
      <c r="B7" t="s">
        <v>1085</v>
      </c>
      <c r="E7" s="4" t="s">
        <v>68</v>
      </c>
      <c r="F7" s="1">
        <v>105</v>
      </c>
      <c r="H7" s="4" t="s">
        <v>18</v>
      </c>
      <c r="I7" s="1">
        <v>17461675.129999999</v>
      </c>
      <c r="K7" s="4" t="s">
        <v>22</v>
      </c>
      <c r="L7" s="1">
        <v>217</v>
      </c>
      <c r="N7" s="4" t="s">
        <v>58</v>
      </c>
      <c r="O7" s="1">
        <v>125</v>
      </c>
    </row>
    <row r="8" spans="1:16" x14ac:dyDescent="0.3">
      <c r="A8" s="4" t="s">
        <v>1090</v>
      </c>
      <c r="B8" s="1">
        <v>915</v>
      </c>
      <c r="C8">
        <f>GETPIVOTDATA("[Measures].[Count of EMP ID]",$A$7,"[EMP_RAW_Data].[Employee Status]","[EMP_RAW_Data].[Employee Status].&amp;[Active]")</f>
        <v>915</v>
      </c>
      <c r="E8" s="4" t="s">
        <v>49</v>
      </c>
      <c r="F8" s="1">
        <v>98</v>
      </c>
      <c r="H8" s="4" t="s">
        <v>49</v>
      </c>
      <c r="I8" s="1">
        <v>11917376.890000008</v>
      </c>
      <c r="K8" s="4" t="s">
        <v>71</v>
      </c>
      <c r="L8" s="1">
        <v>15</v>
      </c>
      <c r="N8" s="4" t="s">
        <v>19</v>
      </c>
      <c r="O8" s="1">
        <v>241</v>
      </c>
    </row>
    <row r="9" spans="1:16" x14ac:dyDescent="0.3">
      <c r="A9" s="4" t="s">
        <v>1091</v>
      </c>
      <c r="B9" s="1">
        <v>85</v>
      </c>
      <c r="C9">
        <f>GETPIVOTDATA("[Measures].[Count of EMP ID]",$A$7,"[EMP_RAW_Data].[Employee Status]","[EMP_RAW_Data].[Employee Status].&amp;[Inactive]")</f>
        <v>85</v>
      </c>
      <c r="E9" s="4" t="s">
        <v>42</v>
      </c>
      <c r="F9" s="1">
        <v>70</v>
      </c>
      <c r="H9" s="4" t="s">
        <v>42</v>
      </c>
      <c r="I9" s="1">
        <v>5952247</v>
      </c>
      <c r="K9" s="4" t="s">
        <v>1092</v>
      </c>
      <c r="L9" s="1">
        <v>1000</v>
      </c>
      <c r="N9" s="4" t="s">
        <v>69</v>
      </c>
      <c r="O9" s="1">
        <v>120</v>
      </c>
    </row>
    <row r="10" spans="1:16" x14ac:dyDescent="0.3">
      <c r="A10" s="4" t="s">
        <v>1092</v>
      </c>
      <c r="B10" s="1">
        <v>1000</v>
      </c>
      <c r="E10" s="4" t="s">
        <v>96</v>
      </c>
      <c r="F10" s="1">
        <v>53</v>
      </c>
      <c r="H10" s="4" t="s">
        <v>96</v>
      </c>
      <c r="I10" s="1">
        <v>3320316</v>
      </c>
      <c r="N10" s="4" t="s">
        <v>46</v>
      </c>
      <c r="O10" s="1">
        <v>140</v>
      </c>
    </row>
    <row r="11" spans="1:16" x14ac:dyDescent="0.3">
      <c r="E11" s="4" t="s">
        <v>51</v>
      </c>
      <c r="F11" s="1">
        <v>51</v>
      </c>
      <c r="H11" s="4" t="s">
        <v>51</v>
      </c>
      <c r="I11" s="1">
        <v>2547484</v>
      </c>
      <c r="N11" s="4" t="s">
        <v>1092</v>
      </c>
      <c r="O11" s="1">
        <v>1000</v>
      </c>
    </row>
    <row r="12" spans="1:16" x14ac:dyDescent="0.3">
      <c r="A12" s="4" t="s">
        <v>1093</v>
      </c>
      <c r="E12" s="4" t="s">
        <v>39</v>
      </c>
      <c r="F12" s="1">
        <v>21</v>
      </c>
      <c r="H12" s="4" t="s">
        <v>89</v>
      </c>
      <c r="I12" s="1">
        <v>2293217.0300000003</v>
      </c>
      <c r="K12" s="4" t="s">
        <v>1096</v>
      </c>
    </row>
    <row r="13" spans="1:16" x14ac:dyDescent="0.3">
      <c r="A13" t="str">
        <f t="shared" ref="A13:B14" si="0">A8</f>
        <v>Active</v>
      </c>
      <c r="B13">
        <f t="shared" si="0"/>
        <v>915</v>
      </c>
      <c r="C13" s="5">
        <f>B13/GETPIVOTDATA("[Measures].[Count of EMP ID]",$A$3)</f>
        <v>0.91500000000000004</v>
      </c>
      <c r="E13" s="4" t="s">
        <v>45</v>
      </c>
      <c r="F13" s="1">
        <v>21</v>
      </c>
      <c r="H13" s="4" t="s">
        <v>39</v>
      </c>
      <c r="I13" s="1">
        <v>1815261.7999999998</v>
      </c>
      <c r="K13" s="3" t="s">
        <v>1089</v>
      </c>
      <c r="L13" t="s">
        <v>1086</v>
      </c>
    </row>
    <row r="14" spans="1:16" x14ac:dyDescent="0.3">
      <c r="A14" t="str">
        <f t="shared" si="0"/>
        <v>Inactive</v>
      </c>
      <c r="B14">
        <f t="shared" si="0"/>
        <v>85</v>
      </c>
      <c r="C14" s="5">
        <f t="shared" ref="C14:C15" si="1">B14/GETPIVOTDATA("[Measures].[Count of EMP ID]",$A$3)</f>
        <v>8.5000000000000006E-2</v>
      </c>
      <c r="E14" s="4" t="s">
        <v>124</v>
      </c>
      <c r="F14" s="1">
        <v>21</v>
      </c>
      <c r="H14" s="4" t="s">
        <v>86</v>
      </c>
      <c r="I14" s="1">
        <v>1671288</v>
      </c>
      <c r="K14" s="4" t="s">
        <v>21</v>
      </c>
      <c r="L14" s="1">
        <v>518</v>
      </c>
      <c r="N14" s="4" t="s">
        <v>1102</v>
      </c>
    </row>
    <row r="15" spans="1:16" x14ac:dyDescent="0.3">
      <c r="A15" t="str">
        <f t="shared" ref="A15:B15" si="2">A10</f>
        <v>Grand Total</v>
      </c>
      <c r="B15">
        <f t="shared" si="2"/>
        <v>1000</v>
      </c>
      <c r="C15" s="5">
        <f t="shared" si="1"/>
        <v>1</v>
      </c>
      <c r="E15" s="4" t="s">
        <v>1092</v>
      </c>
      <c r="F15" s="1">
        <v>671</v>
      </c>
      <c r="H15" s="4" t="s">
        <v>1092</v>
      </c>
      <c r="I15" s="1">
        <v>103319723.52000003</v>
      </c>
      <c r="K15" s="4" t="s">
        <v>29</v>
      </c>
      <c r="L15" s="1">
        <v>482</v>
      </c>
      <c r="N15" s="3" t="s">
        <v>1089</v>
      </c>
      <c r="O15" t="s">
        <v>1086</v>
      </c>
    </row>
    <row r="16" spans="1:16" x14ac:dyDescent="0.3">
      <c r="K16" s="4" t="s">
        <v>1092</v>
      </c>
      <c r="L16" s="1">
        <v>1000</v>
      </c>
      <c r="N16" s="4">
        <v>0</v>
      </c>
      <c r="O16" s="1">
        <v>20</v>
      </c>
    </row>
    <row r="17" spans="1:15" x14ac:dyDescent="0.3">
      <c r="A17" t="s">
        <v>10</v>
      </c>
      <c r="E17" s="4" t="s">
        <v>1099</v>
      </c>
      <c r="N17" s="4">
        <v>1</v>
      </c>
      <c r="O17" s="1">
        <v>13</v>
      </c>
    </row>
    <row r="18" spans="1:15" x14ac:dyDescent="0.3">
      <c r="A18" t="s">
        <v>1094</v>
      </c>
      <c r="E18" s="3" t="s">
        <v>1089</v>
      </c>
      <c r="F18" t="s">
        <v>1086</v>
      </c>
      <c r="K18" t="str">
        <f t="shared" ref="K18:L20" si="3">K13</f>
        <v>Row Labels</v>
      </c>
      <c r="L18" t="str">
        <f t="shared" si="3"/>
        <v>Count of EMP ID</v>
      </c>
      <c r="N18" s="4">
        <v>2</v>
      </c>
      <c r="O18" s="1">
        <v>7</v>
      </c>
    </row>
    <row r="19" spans="1:15" x14ac:dyDescent="0.3">
      <c r="A19" s="6">
        <v>129091166.46999994</v>
      </c>
      <c r="B19" s="6">
        <f>GETPIVOTDATA("[Measures].[Sum of Total Salary]",$A$18)</f>
        <v>129091166.46999994</v>
      </c>
      <c r="E19" s="4" t="s">
        <v>126</v>
      </c>
      <c r="F19" s="1">
        <v>7</v>
      </c>
      <c r="K19" t="str">
        <f t="shared" si="3"/>
        <v>Female</v>
      </c>
      <c r="L19">
        <f t="shared" si="3"/>
        <v>518</v>
      </c>
      <c r="M19" s="5">
        <f>L19/GETPIVOTDATA("[Measures].[Count of EMP ID]",$A$3)</f>
        <v>0.51800000000000002</v>
      </c>
      <c r="N19" s="4">
        <v>3</v>
      </c>
      <c r="O19" s="1">
        <v>8</v>
      </c>
    </row>
    <row r="20" spans="1:15" x14ac:dyDescent="0.3">
      <c r="E20" s="4" t="s">
        <v>93</v>
      </c>
      <c r="F20" s="1">
        <v>11</v>
      </c>
      <c r="H20" s="3" t="s">
        <v>1088</v>
      </c>
      <c r="I20" t="s" vm="1">
        <v>1097</v>
      </c>
      <c r="K20" t="str">
        <f t="shared" si="3"/>
        <v>Male</v>
      </c>
      <c r="L20">
        <f t="shared" si="3"/>
        <v>482</v>
      </c>
      <c r="M20" s="5">
        <f>L20/GETPIVOTDATA("[Measures].[Count of EMP ID]",$A$3)</f>
        <v>0.48199999999999998</v>
      </c>
      <c r="N20" s="4">
        <v>4</v>
      </c>
      <c r="O20" s="1">
        <v>65</v>
      </c>
    </row>
    <row r="21" spans="1:15" x14ac:dyDescent="0.3">
      <c r="A21">
        <v>12123</v>
      </c>
      <c r="B21">
        <f>$A$21</f>
        <v>12123</v>
      </c>
      <c r="E21" s="4" t="s">
        <v>267</v>
      </c>
      <c r="F21" s="1">
        <v>12</v>
      </c>
      <c r="N21" s="4">
        <v>5</v>
      </c>
      <c r="O21" s="1">
        <v>73</v>
      </c>
    </row>
    <row r="22" spans="1:15" x14ac:dyDescent="0.3">
      <c r="E22" s="4" t="s">
        <v>290</v>
      </c>
      <c r="F22" s="1">
        <v>10</v>
      </c>
      <c r="H22" s="3" t="s">
        <v>1086</v>
      </c>
      <c r="I22" s="3" t="s">
        <v>1098</v>
      </c>
      <c r="N22" s="4">
        <v>6</v>
      </c>
      <c r="O22" s="1">
        <v>68</v>
      </c>
    </row>
    <row r="23" spans="1:15" x14ac:dyDescent="0.3">
      <c r="E23" s="4" t="s">
        <v>166</v>
      </c>
      <c r="F23" s="1">
        <v>7</v>
      </c>
      <c r="H23" s="3" t="s">
        <v>1089</v>
      </c>
      <c r="I23" t="s">
        <v>21</v>
      </c>
      <c r="J23" t="s">
        <v>29</v>
      </c>
      <c r="N23" s="4">
        <v>7</v>
      </c>
      <c r="O23" s="1">
        <v>64</v>
      </c>
    </row>
    <row r="24" spans="1:15" x14ac:dyDescent="0.3">
      <c r="A24" s="3" t="s">
        <v>1089</v>
      </c>
      <c r="B24" t="s">
        <v>1086</v>
      </c>
      <c r="E24" s="4" t="s">
        <v>128</v>
      </c>
      <c r="F24" s="1">
        <v>12</v>
      </c>
      <c r="H24" s="4" t="s">
        <v>40</v>
      </c>
      <c r="I24" s="1">
        <v>127</v>
      </c>
      <c r="J24" s="1">
        <v>118</v>
      </c>
      <c r="N24" s="4">
        <v>8</v>
      </c>
      <c r="O24" s="1">
        <v>59</v>
      </c>
    </row>
    <row r="25" spans="1:15" x14ac:dyDescent="0.3">
      <c r="A25" s="4" t="s">
        <v>77</v>
      </c>
      <c r="B25" s="1">
        <v>139</v>
      </c>
      <c r="E25" s="4" t="s">
        <v>278</v>
      </c>
      <c r="F25" s="1">
        <v>10</v>
      </c>
      <c r="H25" s="4" t="s">
        <v>59</v>
      </c>
      <c r="I25" s="1">
        <v>122</v>
      </c>
      <c r="J25" s="1">
        <v>105</v>
      </c>
      <c r="N25" s="4">
        <v>9</v>
      </c>
      <c r="O25" s="1">
        <v>60</v>
      </c>
    </row>
    <row r="26" spans="1:15" x14ac:dyDescent="0.3">
      <c r="A26" s="4" t="s">
        <v>30</v>
      </c>
      <c r="B26" s="1">
        <v>218</v>
      </c>
      <c r="E26" s="4" t="s">
        <v>189</v>
      </c>
      <c r="F26" s="1">
        <v>9</v>
      </c>
      <c r="H26" s="4" t="s">
        <v>36</v>
      </c>
      <c r="I26" s="1">
        <v>148</v>
      </c>
      <c r="J26" s="1">
        <v>148</v>
      </c>
      <c r="N26" s="4">
        <v>10</v>
      </c>
      <c r="O26" s="1">
        <v>48</v>
      </c>
    </row>
    <row r="27" spans="1:15" x14ac:dyDescent="0.3">
      <c r="A27" s="4" t="s">
        <v>23</v>
      </c>
      <c r="B27" s="1">
        <v>643</v>
      </c>
      <c r="E27" s="4" t="s">
        <v>208</v>
      </c>
      <c r="F27" s="1">
        <v>15</v>
      </c>
      <c r="H27" s="4" t="s">
        <v>22</v>
      </c>
      <c r="I27" s="1">
        <v>109</v>
      </c>
      <c r="J27" s="1">
        <v>108</v>
      </c>
      <c r="N27" s="4">
        <v>11</v>
      </c>
      <c r="O27" s="1">
        <v>40</v>
      </c>
    </row>
    <row r="28" spans="1:15" x14ac:dyDescent="0.3">
      <c r="A28" s="4" t="s">
        <v>1092</v>
      </c>
      <c r="B28" s="1">
        <v>1000</v>
      </c>
      <c r="E28" s="4" t="s">
        <v>151</v>
      </c>
      <c r="F28" s="1">
        <v>12</v>
      </c>
      <c r="H28" s="4" t="s">
        <v>71</v>
      </c>
      <c r="I28" s="1">
        <v>12</v>
      </c>
      <c r="J28" s="1">
        <v>3</v>
      </c>
      <c r="N28" s="4">
        <v>12</v>
      </c>
      <c r="O28" s="1">
        <v>51</v>
      </c>
    </row>
    <row r="29" spans="1:15" x14ac:dyDescent="0.3">
      <c r="E29" s="4" t="s">
        <v>1092</v>
      </c>
      <c r="F29" s="1">
        <v>105</v>
      </c>
      <c r="N29" s="4">
        <v>13</v>
      </c>
      <c r="O29" s="1">
        <v>29</v>
      </c>
    </row>
    <row r="30" spans="1:15" x14ac:dyDescent="0.3">
      <c r="N30" s="4">
        <v>14</v>
      </c>
      <c r="O30" s="1">
        <v>37</v>
      </c>
    </row>
    <row r="31" spans="1:15" x14ac:dyDescent="0.3">
      <c r="N31" s="4">
        <v>15</v>
      </c>
      <c r="O31" s="1">
        <v>41</v>
      </c>
    </row>
    <row r="32" spans="1:15" x14ac:dyDescent="0.3">
      <c r="H32" s="1"/>
      <c r="N32" s="4">
        <v>16</v>
      </c>
      <c r="O32" s="1">
        <v>26</v>
      </c>
    </row>
    <row r="33" spans="14:15" x14ac:dyDescent="0.3">
      <c r="N33" s="4">
        <v>17</v>
      </c>
      <c r="O33" s="1">
        <v>24</v>
      </c>
    </row>
    <row r="34" spans="14:15" x14ac:dyDescent="0.3">
      <c r="N34" s="4">
        <v>18</v>
      </c>
      <c r="O34" s="1">
        <v>31</v>
      </c>
    </row>
    <row r="35" spans="14:15" x14ac:dyDescent="0.3">
      <c r="N35" s="4">
        <v>19</v>
      </c>
      <c r="O35" s="1">
        <v>32</v>
      </c>
    </row>
    <row r="36" spans="14:15" x14ac:dyDescent="0.3">
      <c r="N36" s="4">
        <v>20</v>
      </c>
      <c r="O36" s="1">
        <v>21</v>
      </c>
    </row>
    <row r="37" spans="14:15" x14ac:dyDescent="0.3">
      <c r="N37" s="4">
        <v>21</v>
      </c>
      <c r="O37" s="1">
        <v>27</v>
      </c>
    </row>
    <row r="38" spans="14:15" x14ac:dyDescent="0.3">
      <c r="N38" s="4">
        <v>22</v>
      </c>
      <c r="O38" s="1">
        <v>25</v>
      </c>
    </row>
    <row r="39" spans="14:15" x14ac:dyDescent="0.3">
      <c r="N39" s="4">
        <v>23</v>
      </c>
      <c r="O39" s="1">
        <v>16</v>
      </c>
    </row>
    <row r="40" spans="14:15" x14ac:dyDescent="0.3">
      <c r="N40" s="4">
        <v>24</v>
      </c>
      <c r="O40" s="1">
        <v>21</v>
      </c>
    </row>
    <row r="41" spans="14:15" x14ac:dyDescent="0.3">
      <c r="N41" s="4">
        <v>25</v>
      </c>
      <c r="O41" s="1">
        <v>14</v>
      </c>
    </row>
    <row r="42" spans="14:15" x14ac:dyDescent="0.3">
      <c r="N42" s="4">
        <v>26</v>
      </c>
      <c r="O42" s="1">
        <v>11</v>
      </c>
    </row>
    <row r="43" spans="14:15" x14ac:dyDescent="0.3">
      <c r="N43" s="4">
        <v>27</v>
      </c>
      <c r="O43" s="1">
        <v>17</v>
      </c>
    </row>
    <row r="44" spans="14:15" x14ac:dyDescent="0.3">
      <c r="N44" s="4">
        <v>28</v>
      </c>
      <c r="O44" s="1">
        <v>10</v>
      </c>
    </row>
    <row r="45" spans="14:15" x14ac:dyDescent="0.3">
      <c r="N45" s="4">
        <v>29</v>
      </c>
      <c r="O45" s="1">
        <v>11</v>
      </c>
    </row>
    <row r="46" spans="14:15" x14ac:dyDescent="0.3">
      <c r="N46" s="4">
        <v>30</v>
      </c>
      <c r="O46" s="1">
        <v>8</v>
      </c>
    </row>
    <row r="47" spans="14:15" x14ac:dyDescent="0.3">
      <c r="N47" s="4">
        <v>31</v>
      </c>
      <c r="O47" s="1">
        <v>8</v>
      </c>
    </row>
    <row r="48" spans="14:15" x14ac:dyDescent="0.3">
      <c r="N48" s="4">
        <v>32</v>
      </c>
      <c r="O48" s="1">
        <v>6</v>
      </c>
    </row>
    <row r="49" spans="14:15" x14ac:dyDescent="0.3">
      <c r="N49" s="4">
        <v>33</v>
      </c>
      <c r="O49" s="1">
        <v>8</v>
      </c>
    </row>
    <row r="50" spans="14:15" x14ac:dyDescent="0.3">
      <c r="N50" s="4">
        <v>34</v>
      </c>
      <c r="O50" s="1">
        <v>1</v>
      </c>
    </row>
    <row r="51" spans="14:15" x14ac:dyDescent="0.3">
      <c r="N51" s="4" t="s">
        <v>1092</v>
      </c>
      <c r="O51" s="1">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2B8E-38DC-4D0A-8822-447ADDE8A180}">
  <dimension ref="A1:Y11"/>
  <sheetViews>
    <sheetView showGridLines="0" tabSelected="1" zoomScale="90" zoomScaleNormal="90" workbookViewId="0">
      <selection activeCell="U15" sqref="U15"/>
    </sheetView>
  </sheetViews>
  <sheetFormatPr defaultRowHeight="14.4" x14ac:dyDescent="0.3"/>
  <sheetData>
    <row r="1" spans="1:25" x14ac:dyDescent="0.3">
      <c r="A1" t="s">
        <v>1103</v>
      </c>
    </row>
    <row r="11" spans="1:25" x14ac:dyDescent="0.3">
      <c r="Y11" s="1">
        <v>643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D30683-030E-4C2D-AD32-5A29D45835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 RAW 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Shahrukh Sable</dc:creator>
  <cp:lastModifiedBy>shahrukh sable</cp:lastModifiedBy>
  <dcterms:created xsi:type="dcterms:W3CDTF">2015-06-05T18:17:20Z</dcterms:created>
  <dcterms:modified xsi:type="dcterms:W3CDTF">2026-03-17T07:07:34Z</dcterms:modified>
</cp:coreProperties>
</file>